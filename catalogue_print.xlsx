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tup\OneDrive\OneDrive - IRIS - AB Com\Bureau\reprise\site et appli\"/>
    </mc:Choice>
  </mc:AlternateContent>
  <xr:revisionPtr revIDLastSave="0" documentId="13_ncr:1_{76986191-8B94-417A-BA1A-33CE1690736E}" xr6:coauthVersionLast="47" xr6:coauthVersionMax="47" xr10:uidLastSave="{00000000-0000-0000-0000-000000000000}"/>
  <bookViews>
    <workbookView xWindow="-120" yWindow="-120" windowWidth="29040" windowHeight="15720" xr2:uid="{C577F604-72B8-4610-84EF-7A3E6DBC7BFB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68" i="1" l="1"/>
  <c r="J68" i="1"/>
  <c r="K68" i="1"/>
  <c r="L68" i="1"/>
  <c r="M68" i="1"/>
  <c r="N68" i="1"/>
  <c r="N67" i="1"/>
  <c r="M67" i="1"/>
  <c r="L67" i="1"/>
  <c r="K67" i="1"/>
  <c r="J67" i="1"/>
  <c r="I67" i="1"/>
  <c r="I12" i="1"/>
</calcChain>
</file>

<file path=xl/sharedStrings.xml><?xml version="1.0" encoding="utf-8"?>
<sst xmlns="http://schemas.openxmlformats.org/spreadsheetml/2006/main" count="306" uniqueCount="108">
  <si>
    <t>Catégorie</t>
  </si>
  <si>
    <t>Modèle / Référence exacte</t>
  </si>
  <si>
    <t>Roll up</t>
  </si>
  <si>
    <t>Roll-Up Eco - Bâche PVC Eco 510 Gr certifiée M1 (résistance au feu) Impression Quadri - Recto</t>
  </si>
  <si>
    <t>Roll-Up Eco - Bâche Polyester 420 Gr certifiée M1 (résistance au feu) occultant - Impression Quadri - Recto</t>
  </si>
  <si>
    <t>Roll-Up Pro - Bâche PVC Mat 510 Gr  certifiée M1 (résistance au feu) Impression Quadri - Recto</t>
  </si>
  <si>
    <t>Roll-Up Pro - Bâche  Polyester 420 Gr certifié M1 (résistance au feu) occultant Impression Quadri - REcto</t>
  </si>
  <si>
    <t>135g couché brillant</t>
  </si>
  <si>
    <t>Recto</t>
  </si>
  <si>
    <t>Recto/verso</t>
  </si>
  <si>
    <t>170g couché demi mat</t>
  </si>
  <si>
    <t>250g couché brillant ou demi mat</t>
  </si>
  <si>
    <t>115g recyclé</t>
  </si>
  <si>
    <t>Dépliant</t>
  </si>
  <si>
    <t>sous catégorie</t>
  </si>
  <si>
    <t>A6 fermé/A5 ouvert (1 pli)</t>
  </si>
  <si>
    <t>A5 fermé/A4 ouvert (1 pli)</t>
  </si>
  <si>
    <t>A4 fermé/A3 ouvert (1 pli)</t>
  </si>
  <si>
    <t>A4 fermé/A3 ouvert (2 plis rouleau ou accordéon ou fenêtre ou décalé)</t>
  </si>
  <si>
    <t>Menus restaurants 300g indéchirable</t>
  </si>
  <si>
    <t>A5 fermé/A4 ouvert (1 pli) ou 21*10cm fermé/A4 ouvert</t>
  </si>
  <si>
    <t>A4 fermé/A3 ouvert (1 pli) ou 14*30cm fermé/A3 ouvert (2 plis)</t>
  </si>
  <si>
    <t>Sous bock carton épais 580g</t>
  </si>
  <si>
    <t>9,3*9,3 cm</t>
  </si>
  <si>
    <t>10*10 coins arrondis</t>
  </si>
  <si>
    <t>rond (10cm de dimaètre)</t>
  </si>
  <si>
    <t>Adhésifs vinyl classique</t>
  </si>
  <si>
    <t>10*10cm</t>
  </si>
  <si>
    <t>20*20cm</t>
  </si>
  <si>
    <t>29,5*29,5cm</t>
  </si>
  <si>
    <t>Adhésifs papier couché 
chrome brillant 80g</t>
  </si>
  <si>
    <t>sans pelliculage</t>
  </si>
  <si>
    <t>AVEC PELLICULAGE SUR LE RECTO - Brillant, Mat ou velours</t>
  </si>
  <si>
    <t>Calendriers</t>
  </si>
  <si>
    <t>Format recto verso, 250 g/m2 couché brillant</t>
  </si>
  <si>
    <t>A4</t>
  </si>
  <si>
    <t>A5</t>
  </si>
  <si>
    <t>A6</t>
  </si>
  <si>
    <t>Format recto verso, 350 g/m2 couché mat</t>
  </si>
  <si>
    <t>Calendrier magnétique A5</t>
  </si>
  <si>
    <t>Banderole Format 200 x 80 cm</t>
  </si>
  <si>
    <t>Banderole Format 200 x100 cm</t>
  </si>
  <si>
    <t>Banderole Format 300 x 100 cm</t>
  </si>
  <si>
    <t>Banderole Format 400 x 100 cm</t>
  </si>
  <si>
    <t>Banderole Format 500 x 100 cm</t>
  </si>
  <si>
    <t>Banderole normée M1, 510 g/m2, avec œillet et ourlet périphérique</t>
  </si>
  <si>
    <t>Chemise de présentation</t>
  </si>
  <si>
    <t>Chemise de présentation - Format A4 Ouvert / A5 Fermé - Simple ou double Rainage - 300 Gr Encoche carte visite - 2 Rabats - Recto</t>
  </si>
  <si>
    <t>Chemise de présentation - A4 Ouvert / A5 Fermé - Simple ou double Rainage - 300 Gr Encoche carte visite - 2 Rabats - Recto/Verso</t>
  </si>
  <si>
    <t>Chemise de présentation - A3 Ouvert / A4 Fermé - Simple ou double Rainage - 300 Gr Encoche carte visite - 2 Rabats - Recto</t>
  </si>
  <si>
    <t>Chemise de présentation - A3 Ouvert / A4 Fermé - Simple ou double Rainage - 300 Gr Encoche carte visite - 2 Rabats - Recto/Verso</t>
  </si>
  <si>
    <t>Blocs notes</t>
  </si>
  <si>
    <t>Bloc Note collé - Format A6 - 25 Feuilles - 90 Gr Offset</t>
  </si>
  <si>
    <t>Bloc Note collé - Format A6 - 50 Feuilles - 90 Gr Offset</t>
  </si>
  <si>
    <t>Bloc Note collé - Format A5 - 25 Feuilles - 90 Gr Offset</t>
  </si>
  <si>
    <t>Bloc Note collé - Format A5 - 50 Feuilles - 90 Gr Offset</t>
  </si>
  <si>
    <t>Bloc Note collé - Format A4 - 25 Feuilles - 90 Gr Offset</t>
  </si>
  <si>
    <t>Bloc Note collé - Format A4 - 50 Feuilles - 90 Gr Offset</t>
  </si>
  <si>
    <t>Panneaux de chantier Panneaux alvéolaires en polypropylène (Akylux) Oeillets aux 4 coins Impression quadri Portrait ou paysage **</t>
  </si>
  <si>
    <t>Recto-verso</t>
  </si>
  <si>
    <t>Panneau de chantier - Format 60 x 40 cm - épaisseur 3,5 mm</t>
  </si>
  <si>
    <t>Panneau de chantier - Format 80 x 60 cm - épaisseur 3,5 mm</t>
  </si>
  <si>
    <t>Panneau de chantier - Format 120 x 80 cm - épaisseur 3,5 mm</t>
  </si>
  <si>
    <t>Roll-Up Eco</t>
  </si>
  <si>
    <t>Roll-Up Pro</t>
  </si>
  <si>
    <t>A6 - 115g recyclé</t>
  </si>
  <si>
    <t>A6 - 350g couché demi mat</t>
  </si>
  <si>
    <t>A6 - 250g couché brillant ou demi mat</t>
  </si>
  <si>
    <t>A6 - 170g couché demi mat</t>
  </si>
  <si>
    <t>A6 - 135g couché brillant</t>
  </si>
  <si>
    <t>Flyer</t>
  </si>
  <si>
    <t>A5 - 135g couché brillant</t>
  </si>
  <si>
    <t>A5 - 170g couché demi mat</t>
  </si>
  <si>
    <t>A5 - 250g couché brillant ou demi mat</t>
  </si>
  <si>
    <t>A5 - 350g couché demi mat</t>
  </si>
  <si>
    <t>A5 - 115g recyclé</t>
  </si>
  <si>
    <t>Cartes de visite</t>
  </si>
  <si>
    <t>1 à 4</t>
  </si>
  <si>
    <t>5 à 9</t>
  </si>
  <si>
    <t>10 à 24</t>
  </si>
  <si>
    <t>25 à 49</t>
  </si>
  <si>
    <t>50 à 99</t>
  </si>
  <si>
    <t>100 à 249</t>
  </si>
  <si>
    <t>250 à 499</t>
  </si>
  <si>
    <t>500 à 999</t>
  </si>
  <si>
    <t>1000 à 2499</t>
  </si>
  <si>
    <t>2500 à 4999</t>
  </si>
  <si>
    <t>5000 à 9999</t>
  </si>
  <si>
    <t>10000 et plus</t>
  </si>
  <si>
    <t>Affiches</t>
  </si>
  <si>
    <t xml:space="preserve">A4 </t>
  </si>
  <si>
    <t>90g /m2</t>
  </si>
  <si>
    <t>120 ou 135g/m2</t>
  </si>
  <si>
    <t>A3</t>
  </si>
  <si>
    <t>A0</t>
  </si>
  <si>
    <t>A2</t>
  </si>
  <si>
    <t>A1</t>
  </si>
  <si>
    <t>160g/m2</t>
  </si>
  <si>
    <t>250g</t>
  </si>
  <si>
    <t>Cartes de correspondance</t>
  </si>
  <si>
    <t>Lettre à en-tête</t>
  </si>
  <si>
    <t>A4 90g</t>
  </si>
  <si>
    <t>Envellope</t>
  </si>
  <si>
    <t>90g</t>
  </si>
  <si>
    <t>Carte restaurant</t>
  </si>
  <si>
    <t>A6 fermé / A5 ouvert (1 pli)</t>
  </si>
  <si>
    <t>A5 fermé /A4 ouvert (1 pli) ou 21x10 cm fermé A4 ouvert</t>
  </si>
  <si>
    <t xml:space="preserve">A4 fermé / A3 ouvert (1 pli) ou 14x30 cm fermé A3 ouvert (2 plis)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</si>
</sst>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i/>
      <sz val="11"/>
      <color rgb="FF1F1F1F"/>
      <name val="Arial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</fills>
  <borders count="5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medium">
        <color rgb="FFC4C7C5"/>
      </left>
      <right style="medium">
        <color rgb="FFC4C7C5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3" fillId="2" borderId="1" xfId="0" applyFont="1" applyFill="1" applyBorder="1" applyAlignment="1">
      <alignment horizontal="left" vertical="center" wrapText="1" indent="1" readingOrder="1"/>
    </xf>
    <xf numFmtId="0" fontId="0" fillId="2" borderId="0" xfId="0" applyFill="1"/>
    <xf numFmtId="0" fontId="1" fillId="2" borderId="1" xfId="0" applyFont="1" applyFill="1" applyBorder="1" applyAlignment="1">
      <alignment horizontal="left" vertical="center" wrapText="1" indent="1" readingOrder="1"/>
    </xf>
    <xf numFmtId="0" fontId="2" fillId="0" borderId="2" xfId="0" applyFont="1" applyBorder="1" applyAlignment="1">
      <alignment horizontal="left" vertical="center" wrapText="1" indent="1" readingOrder="1"/>
    </xf>
    <xf numFmtId="0" fontId="0" fillId="0" borderId="3" xfId="0" applyBorder="1"/>
    <xf numFmtId="0" fontId="0" fillId="0" borderId="4" xfId="0" applyBorder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A29C8-9A76-4166-9594-E46298E59E8A}">
  <dimension ref="A1:O100"/>
  <sheetViews>
    <sheetView tabSelected="1" zoomScale="70" zoomScaleNormal="70" workbookViewId="0">
      <pane xSplit="3" ySplit="1" topLeftCell="D67" activePane="bottomRight" state="frozen"/>
      <selection pane="topRight" activeCell="D1" sqref="D1"/>
      <selection pane="bottomLeft" activeCell="A3" sqref="A3"/>
      <selection pane="bottomRight" activeCell="O99" sqref="M97:O99"/>
    </sheetView>
  </sheetViews>
  <sheetFormatPr baseColWidth="10" defaultRowHeight="15" x14ac:dyDescent="0.25"/>
  <cols>
    <col min="1" max="1" width="148.85546875" customWidth="1"/>
    <col min="2" max="2" width="58.5703125" customWidth="1"/>
    <col min="3" max="3" width="75.5703125" customWidth="1"/>
    <col min="4" max="8" width="24.140625" customWidth="1"/>
    <col min="9" max="9" width="18.85546875" customWidth="1"/>
    <col min="10" max="10" width="17.42578125" customWidth="1"/>
    <col min="11" max="11" width="14.42578125" customWidth="1"/>
  </cols>
  <sheetData>
    <row r="1" spans="1:15" ht="30.75" thickBot="1" x14ac:dyDescent="0.3">
      <c r="A1" s="1" t="s">
        <v>0</v>
      </c>
      <c r="B1" s="1" t="s">
        <v>14</v>
      </c>
      <c r="C1" s="1" t="s">
        <v>1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83</v>
      </c>
      <c r="K1" s="1" t="s">
        <v>84</v>
      </c>
      <c r="L1" s="1" t="s">
        <v>85</v>
      </c>
      <c r="M1" s="1" t="s">
        <v>86</v>
      </c>
      <c r="N1" s="1" t="s">
        <v>87</v>
      </c>
      <c r="O1" s="5" t="s">
        <v>88</v>
      </c>
    </row>
    <row r="2" spans="1:15" ht="15.75" thickBot="1" x14ac:dyDescent="0.3">
      <c r="A2" s="8" t="s">
        <v>58</v>
      </c>
      <c r="B2" t="s">
        <v>60</v>
      </c>
      <c r="C2" t="s">
        <v>8</v>
      </c>
      <c r="D2" s="2"/>
      <c r="E2">
        <v>9.1999999999999993</v>
      </c>
      <c r="F2">
        <v>7.4</v>
      </c>
      <c r="G2">
        <v>5.28</v>
      </c>
      <c r="H2">
        <v>4.88</v>
      </c>
      <c r="I2">
        <v>4.68</v>
      </c>
      <c r="J2" s="4"/>
      <c r="K2" s="4"/>
      <c r="L2" s="4"/>
      <c r="M2" s="4"/>
      <c r="N2" s="4"/>
      <c r="O2" s="3"/>
    </row>
    <row r="3" spans="1:15" ht="15.75" thickBot="1" x14ac:dyDescent="0.3">
      <c r="A3" s="8" t="s">
        <v>58</v>
      </c>
      <c r="B3" t="s">
        <v>60</v>
      </c>
      <c r="C3" t="s">
        <v>59</v>
      </c>
      <c r="D3" s="2"/>
      <c r="E3">
        <v>12.8</v>
      </c>
      <c r="F3">
        <v>10.37</v>
      </c>
      <c r="G3">
        <v>8.6359999999999992</v>
      </c>
      <c r="H3">
        <v>7.24</v>
      </c>
      <c r="I3">
        <v>6.46</v>
      </c>
      <c r="J3" s="4"/>
      <c r="K3" s="4"/>
      <c r="L3" s="4"/>
      <c r="M3" s="4"/>
      <c r="N3" s="4"/>
      <c r="O3" s="3"/>
    </row>
    <row r="4" spans="1:15" ht="15.75" thickBot="1" x14ac:dyDescent="0.3">
      <c r="A4" s="8" t="s">
        <v>58</v>
      </c>
      <c r="B4" t="s">
        <v>61</v>
      </c>
      <c r="C4" t="s">
        <v>8</v>
      </c>
      <c r="D4" s="2"/>
      <c r="E4">
        <v>12.4</v>
      </c>
      <c r="F4">
        <v>10.199999999999999</v>
      </c>
      <c r="G4">
        <v>8.32</v>
      </c>
      <c r="H4">
        <v>7.88</v>
      </c>
      <c r="I4">
        <v>7.8</v>
      </c>
      <c r="J4" s="4"/>
      <c r="K4" s="4"/>
      <c r="L4" s="4"/>
      <c r="M4" s="4"/>
      <c r="N4" s="4"/>
      <c r="O4" s="3"/>
    </row>
    <row r="5" spans="1:15" x14ac:dyDescent="0.25">
      <c r="A5" s="8" t="s">
        <v>58</v>
      </c>
      <c r="B5" t="s">
        <v>61</v>
      </c>
      <c r="C5" t="s">
        <v>59</v>
      </c>
      <c r="D5" s="3"/>
      <c r="E5">
        <v>20</v>
      </c>
      <c r="F5">
        <v>16.399999999999999</v>
      </c>
      <c r="G5">
        <v>12.88</v>
      </c>
      <c r="H5">
        <v>11.28</v>
      </c>
      <c r="I5">
        <v>10.36</v>
      </c>
      <c r="J5" s="3"/>
      <c r="K5" s="3"/>
      <c r="L5" s="3"/>
      <c r="M5" s="3"/>
      <c r="N5" s="3"/>
      <c r="O5" s="3"/>
    </row>
    <row r="6" spans="1:15" x14ac:dyDescent="0.25">
      <c r="A6" s="8" t="s">
        <v>58</v>
      </c>
      <c r="B6" t="s">
        <v>62</v>
      </c>
      <c r="C6" t="s">
        <v>8</v>
      </c>
      <c r="D6" s="3"/>
      <c r="E6">
        <v>20</v>
      </c>
      <c r="F6">
        <v>17</v>
      </c>
      <c r="G6">
        <v>14.64</v>
      </c>
      <c r="H6">
        <v>13.8</v>
      </c>
      <c r="I6">
        <v>13.2</v>
      </c>
      <c r="J6" s="3"/>
      <c r="K6" s="3"/>
      <c r="L6" s="3"/>
      <c r="M6" s="3"/>
      <c r="N6" s="3"/>
      <c r="O6" s="3"/>
    </row>
    <row r="7" spans="1:15" x14ac:dyDescent="0.25">
      <c r="A7" s="8" t="s">
        <v>58</v>
      </c>
      <c r="B7" t="s">
        <v>62</v>
      </c>
      <c r="C7" t="s">
        <v>59</v>
      </c>
      <c r="D7" s="3"/>
      <c r="E7">
        <v>30.4</v>
      </c>
      <c r="F7">
        <v>25.6</v>
      </c>
      <c r="G7">
        <v>20.399999999999999</v>
      </c>
      <c r="H7">
        <v>18.68</v>
      </c>
      <c r="I7">
        <v>16.940000000000001</v>
      </c>
      <c r="J7" s="3"/>
      <c r="K7" s="3"/>
      <c r="L7" s="3"/>
      <c r="M7" s="3"/>
      <c r="N7" s="3"/>
      <c r="O7" s="3"/>
    </row>
    <row r="8" spans="1:15" x14ac:dyDescent="0.25">
      <c r="A8" t="s">
        <v>2</v>
      </c>
      <c r="B8" t="s">
        <v>63</v>
      </c>
      <c r="C8" t="s">
        <v>3</v>
      </c>
      <c r="D8">
        <v>64.8</v>
      </c>
      <c r="E8">
        <v>64.8</v>
      </c>
      <c r="F8">
        <v>64.8</v>
      </c>
      <c r="G8">
        <v>64.8</v>
      </c>
      <c r="H8" s="3"/>
      <c r="I8" s="3"/>
      <c r="J8" s="3"/>
      <c r="K8" s="3"/>
      <c r="L8" s="3"/>
      <c r="M8" s="3"/>
      <c r="N8" s="3"/>
      <c r="O8" s="3"/>
    </row>
    <row r="9" spans="1:15" x14ac:dyDescent="0.25">
      <c r="A9" t="s">
        <v>2</v>
      </c>
      <c r="B9" t="s">
        <v>63</v>
      </c>
      <c r="C9" t="s">
        <v>4</v>
      </c>
      <c r="D9">
        <v>93.6</v>
      </c>
      <c r="E9">
        <v>93.6</v>
      </c>
      <c r="F9">
        <v>93.6</v>
      </c>
      <c r="G9">
        <v>93.6</v>
      </c>
      <c r="H9" s="3"/>
      <c r="I9" s="3"/>
      <c r="J9" s="3"/>
      <c r="K9" s="3"/>
      <c r="L9" s="3"/>
      <c r="M9" s="3"/>
      <c r="N9" s="3"/>
      <c r="O9" s="3"/>
    </row>
    <row r="10" spans="1:15" x14ac:dyDescent="0.25">
      <c r="A10" t="s">
        <v>2</v>
      </c>
      <c r="B10" t="s">
        <v>64</v>
      </c>
      <c r="C10" t="s">
        <v>5</v>
      </c>
      <c r="D10">
        <v>96</v>
      </c>
      <c r="E10">
        <v>96</v>
      </c>
      <c r="F10">
        <v>96</v>
      </c>
      <c r="G10">
        <v>96</v>
      </c>
      <c r="H10" s="3"/>
      <c r="I10" s="3"/>
      <c r="J10" s="3"/>
      <c r="K10" s="3"/>
      <c r="L10" s="3"/>
      <c r="M10" s="3"/>
      <c r="N10" s="3"/>
      <c r="O10" s="3"/>
    </row>
    <row r="11" spans="1:15" x14ac:dyDescent="0.25">
      <c r="A11" t="s">
        <v>2</v>
      </c>
      <c r="B11" t="s">
        <v>64</v>
      </c>
      <c r="C11" t="s">
        <v>6</v>
      </c>
      <c r="D11">
        <v>141.6</v>
      </c>
      <c r="E11">
        <v>141.6</v>
      </c>
      <c r="F11">
        <v>141.6</v>
      </c>
      <c r="G11">
        <v>141.6</v>
      </c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t="s">
        <v>70</v>
      </c>
      <c r="B12" t="s">
        <v>69</v>
      </c>
      <c r="C12" t="s">
        <v>8</v>
      </c>
      <c r="D12" s="3"/>
      <c r="E12" s="3"/>
      <c r="F12" s="3"/>
      <c r="G12" s="3"/>
      <c r="H12" s="3"/>
      <c r="I12">
        <f>(31.35)/100</f>
        <v>0.3135</v>
      </c>
      <c r="J12">
        <v>0.13860000000000003</v>
      </c>
      <c r="K12">
        <v>8.5800000000000015E-2</v>
      </c>
      <c r="L12">
        <v>4.9500000000000009E-2</v>
      </c>
      <c r="M12">
        <v>2.64E-2</v>
      </c>
      <c r="N12">
        <v>1.8295200000000001E-2</v>
      </c>
      <c r="O12">
        <v>1.4399E-2</v>
      </c>
    </row>
    <row r="13" spans="1:15" x14ac:dyDescent="0.25">
      <c r="A13" t="s">
        <v>70</v>
      </c>
      <c r="B13" t="s">
        <v>69</v>
      </c>
      <c r="C13" t="s">
        <v>59</v>
      </c>
      <c r="D13" s="3"/>
      <c r="E13" s="3"/>
      <c r="F13" s="3"/>
      <c r="G13" s="3"/>
      <c r="H13" s="3"/>
      <c r="I13">
        <v>0.35200000000000004</v>
      </c>
      <c r="J13">
        <v>0.15180000000000002</v>
      </c>
      <c r="K13">
        <v>9.5700000000000007E-2</v>
      </c>
      <c r="L13">
        <v>5.2800000000000007E-2</v>
      </c>
      <c r="M13">
        <v>2.8380000000000002E-2</v>
      </c>
      <c r="N13">
        <v>1.9650399999999998E-2</v>
      </c>
      <c r="O13">
        <v>1.5754199999999999E-2</v>
      </c>
    </row>
    <row r="14" spans="1:15" x14ac:dyDescent="0.25">
      <c r="A14" t="s">
        <v>70</v>
      </c>
      <c r="B14" t="s">
        <v>68</v>
      </c>
      <c r="C14" t="s">
        <v>8</v>
      </c>
      <c r="D14" s="3"/>
      <c r="E14" s="3"/>
      <c r="F14" s="3"/>
      <c r="G14" s="3"/>
      <c r="H14" s="3"/>
      <c r="I14">
        <v>0.37620000000000003</v>
      </c>
      <c r="J14">
        <v>0.17424000000000001</v>
      </c>
      <c r="K14">
        <v>0.11088000000000001</v>
      </c>
      <c r="L14">
        <v>7.7220000000000011E-2</v>
      </c>
      <c r="M14">
        <v>3.6431999999999999E-2</v>
      </c>
      <c r="N14">
        <v>2.6716800000000002E-2</v>
      </c>
      <c r="O14">
        <v>1.8620800000000003E-2</v>
      </c>
    </row>
    <row r="15" spans="1:15" x14ac:dyDescent="0.25">
      <c r="A15" t="s">
        <v>70</v>
      </c>
      <c r="B15" t="s">
        <v>68</v>
      </c>
      <c r="C15" t="s">
        <v>59</v>
      </c>
      <c r="D15" s="3"/>
      <c r="E15" s="3"/>
      <c r="F15" s="3"/>
      <c r="G15" s="3"/>
      <c r="H15" s="3"/>
      <c r="I15">
        <v>0.39600000000000002</v>
      </c>
      <c r="J15">
        <v>0.19008000000000005</v>
      </c>
      <c r="K15">
        <v>0.12672</v>
      </c>
      <c r="L15">
        <v>9.3060000000000004E-2</v>
      </c>
      <c r="M15">
        <v>4.7608000000000004E-2</v>
      </c>
      <c r="N15">
        <v>2.87408E-2</v>
      </c>
      <c r="O15">
        <v>2.0037599999999999E-2</v>
      </c>
    </row>
    <row r="16" spans="1:15" x14ac:dyDescent="0.25">
      <c r="A16" t="s">
        <v>70</v>
      </c>
      <c r="B16" t="s">
        <v>67</v>
      </c>
      <c r="C16" t="s">
        <v>8</v>
      </c>
      <c r="D16" s="3"/>
      <c r="E16" s="3"/>
      <c r="F16" s="3"/>
      <c r="G16" s="3"/>
      <c r="H16" s="3"/>
      <c r="I16">
        <v>0.36300000000000004</v>
      </c>
      <c r="J16">
        <v>0.17160000000000003</v>
      </c>
      <c r="K16">
        <v>0.10890000000000001</v>
      </c>
      <c r="L16">
        <v>7.7550000000000008E-2</v>
      </c>
      <c r="M16">
        <v>4.2011200000000005E-2</v>
      </c>
      <c r="N16">
        <v>3.32024E-2</v>
      </c>
      <c r="O16">
        <v>2.2022E-2</v>
      </c>
    </row>
    <row r="17" spans="1:15" x14ac:dyDescent="0.25">
      <c r="A17" t="s">
        <v>70</v>
      </c>
      <c r="B17" t="s">
        <v>67</v>
      </c>
      <c r="C17" t="s">
        <v>59</v>
      </c>
      <c r="D17" s="3"/>
      <c r="E17" s="3"/>
      <c r="F17" s="3"/>
      <c r="G17" s="3"/>
      <c r="H17" s="3"/>
      <c r="I17">
        <v>0.3795</v>
      </c>
      <c r="J17">
        <v>0.19140000000000001</v>
      </c>
      <c r="K17">
        <v>0.12540000000000001</v>
      </c>
      <c r="L17">
        <v>9.4864000000000004E-2</v>
      </c>
      <c r="M17">
        <v>4.4721600000000007E-2</v>
      </c>
      <c r="N17">
        <v>3.4896400000000008E-2</v>
      </c>
      <c r="O17">
        <v>2.3377200000000001E-2</v>
      </c>
    </row>
    <row r="18" spans="1:15" x14ac:dyDescent="0.25">
      <c r="A18" t="s">
        <v>70</v>
      </c>
      <c r="B18" t="s">
        <v>66</v>
      </c>
      <c r="C18" t="s">
        <v>8</v>
      </c>
      <c r="D18" s="3"/>
      <c r="E18" s="3"/>
      <c r="F18" s="3"/>
      <c r="G18" s="3"/>
      <c r="H18" s="3"/>
      <c r="I18">
        <v>0.3795</v>
      </c>
      <c r="J18">
        <v>0.19140000000000001</v>
      </c>
      <c r="K18">
        <v>0.12210000000000001</v>
      </c>
      <c r="L18">
        <v>7.4249999999999997E-2</v>
      </c>
      <c r="M18">
        <v>4.8787200000000003E-2</v>
      </c>
      <c r="N18">
        <v>3.6929200000000009E-2</v>
      </c>
      <c r="O18">
        <v>3.0661400000000002E-2</v>
      </c>
    </row>
    <row r="19" spans="1:15" x14ac:dyDescent="0.25">
      <c r="A19" t="s">
        <v>70</v>
      </c>
      <c r="B19" t="s">
        <v>66</v>
      </c>
      <c r="C19" t="s">
        <v>59</v>
      </c>
      <c r="D19" s="3"/>
      <c r="E19" s="3"/>
      <c r="F19" s="3"/>
      <c r="G19" s="3"/>
      <c r="H19" s="3"/>
      <c r="I19">
        <v>0.39600000000000002</v>
      </c>
      <c r="J19">
        <v>0.20460000000000003</v>
      </c>
      <c r="K19">
        <v>0.12210000000000001</v>
      </c>
      <c r="L19">
        <v>7.9200000000000007E-2</v>
      </c>
      <c r="M19">
        <v>5.0820000000000004E-2</v>
      </c>
      <c r="N19">
        <v>3.8284400000000003E-2</v>
      </c>
      <c r="O19">
        <v>3.2016600000000006E-2</v>
      </c>
    </row>
    <row r="20" spans="1:15" x14ac:dyDescent="0.25">
      <c r="A20" t="s">
        <v>70</v>
      </c>
      <c r="B20" t="s">
        <v>65</v>
      </c>
      <c r="C20" t="s">
        <v>8</v>
      </c>
      <c r="D20" s="3"/>
      <c r="E20" s="3"/>
      <c r="F20" s="3"/>
      <c r="G20" s="3"/>
      <c r="H20" s="3"/>
      <c r="I20">
        <v>0.45539999999999997</v>
      </c>
      <c r="J20">
        <v>0.20592000000000002</v>
      </c>
      <c r="K20">
        <v>0.12276000000000001</v>
      </c>
      <c r="L20">
        <v>8.3159999999999998E-2</v>
      </c>
      <c r="M20">
        <v>7.4483200000000013E-2</v>
      </c>
      <c r="N20">
        <v>4.2908800000000004E-2</v>
      </c>
      <c r="O20">
        <v>2.8538400000000002E-2</v>
      </c>
    </row>
    <row r="21" spans="1:15" x14ac:dyDescent="0.25">
      <c r="A21" t="s">
        <v>70</v>
      </c>
      <c r="B21" t="s">
        <v>65</v>
      </c>
      <c r="C21" t="s">
        <v>59</v>
      </c>
      <c r="D21" s="3"/>
      <c r="E21" s="3"/>
      <c r="F21" s="3"/>
      <c r="G21" s="3"/>
      <c r="H21" s="3"/>
      <c r="I21">
        <v>0.47520000000000012</v>
      </c>
      <c r="J21">
        <v>0.22176000000000001</v>
      </c>
      <c r="K21">
        <v>0.14255999999999999</v>
      </c>
      <c r="L21">
        <v>0.10524800000000002</v>
      </c>
      <c r="M21">
        <v>7.8531199999999995E-2</v>
      </c>
      <c r="N21">
        <v>4.6552000000000003E-2</v>
      </c>
      <c r="O21">
        <v>2.8538400000000002E-2</v>
      </c>
    </row>
    <row r="22" spans="1:15" x14ac:dyDescent="0.25">
      <c r="A22" t="s">
        <v>70</v>
      </c>
      <c r="B22" t="s">
        <v>71</v>
      </c>
      <c r="C22" t="s">
        <v>8</v>
      </c>
      <c r="D22" s="3"/>
      <c r="E22" s="3"/>
      <c r="F22" s="3"/>
      <c r="G22" s="3"/>
      <c r="H22" s="3"/>
      <c r="I22">
        <v>0.33</v>
      </c>
      <c r="J22">
        <v>0.16500000000000001</v>
      </c>
      <c r="K22">
        <v>0.11880000000000002</v>
      </c>
      <c r="L22">
        <v>7.2600000000000012E-2</v>
      </c>
      <c r="M22">
        <v>4.2011200000000005E-2</v>
      </c>
      <c r="N22">
        <v>2.74428E-2</v>
      </c>
      <c r="O22">
        <v>2.21914E-2</v>
      </c>
    </row>
    <row r="23" spans="1:15" x14ac:dyDescent="0.25">
      <c r="A23" t="s">
        <v>70</v>
      </c>
      <c r="B23" t="s">
        <v>71</v>
      </c>
      <c r="C23" t="s">
        <v>59</v>
      </c>
      <c r="D23" s="3"/>
      <c r="E23" s="3"/>
      <c r="F23" s="3"/>
      <c r="G23" s="3"/>
      <c r="H23" s="3"/>
      <c r="I23">
        <v>0.36300000000000004</v>
      </c>
      <c r="J23">
        <v>0.19140000000000001</v>
      </c>
      <c r="K23">
        <v>0.1353</v>
      </c>
      <c r="L23">
        <v>8.0850000000000005E-2</v>
      </c>
      <c r="M23">
        <v>4.6754400000000002E-2</v>
      </c>
      <c r="N23">
        <v>3.0153200000000005E-2</v>
      </c>
      <c r="O23">
        <v>2.4393600000000001E-2</v>
      </c>
    </row>
    <row r="24" spans="1:15" x14ac:dyDescent="0.25">
      <c r="A24" t="s">
        <v>70</v>
      </c>
      <c r="B24" t="s">
        <v>72</v>
      </c>
      <c r="C24" t="s">
        <v>8</v>
      </c>
      <c r="D24" s="3"/>
      <c r="E24" s="3"/>
      <c r="F24" s="3"/>
      <c r="G24" s="3"/>
      <c r="H24" s="3"/>
      <c r="I24">
        <v>0.41800000000000004</v>
      </c>
      <c r="J24">
        <v>0.19360000000000002</v>
      </c>
      <c r="K24">
        <v>0.1144</v>
      </c>
      <c r="L24">
        <v>7.2600000000000012E-2</v>
      </c>
      <c r="M24">
        <v>4.4880000000000003E-2</v>
      </c>
      <c r="N24">
        <v>3.5200000000000002E-2</v>
      </c>
      <c r="O24">
        <v>3.1899999999999998E-2</v>
      </c>
    </row>
    <row r="25" spans="1:15" x14ac:dyDescent="0.25">
      <c r="A25" t="s">
        <v>70</v>
      </c>
      <c r="B25" t="s">
        <v>72</v>
      </c>
      <c r="C25" t="s">
        <v>59</v>
      </c>
      <c r="D25" s="3"/>
      <c r="E25" s="3"/>
      <c r="F25" s="3"/>
      <c r="G25" s="3"/>
      <c r="H25" s="3"/>
      <c r="I25">
        <v>0.44</v>
      </c>
      <c r="J25">
        <v>0.23760000000000003</v>
      </c>
      <c r="K25">
        <v>0.13639999999999999</v>
      </c>
      <c r="L25">
        <v>8.7999999999999995E-2</v>
      </c>
      <c r="M25">
        <v>5.3680000000000005E-2</v>
      </c>
      <c r="N25">
        <v>3.8720000000000004E-2</v>
      </c>
      <c r="O25">
        <v>3.4759999999999999E-2</v>
      </c>
    </row>
    <row r="26" spans="1:15" x14ac:dyDescent="0.25">
      <c r="A26" t="s">
        <v>70</v>
      </c>
      <c r="B26" t="s">
        <v>73</v>
      </c>
      <c r="C26" t="s">
        <v>8</v>
      </c>
      <c r="D26" s="3"/>
      <c r="E26" s="3"/>
      <c r="F26" s="3"/>
      <c r="G26" s="3"/>
      <c r="H26" s="3"/>
      <c r="I26">
        <v>0.44</v>
      </c>
      <c r="J26">
        <v>0.21120000000000003</v>
      </c>
      <c r="K26">
        <v>0.12760000000000002</v>
      </c>
      <c r="L26">
        <v>8.3600000000000008E-2</v>
      </c>
      <c r="M26">
        <v>5.6320000000000002E-2</v>
      </c>
      <c r="N26">
        <v>4.9280000000000004E-2</v>
      </c>
      <c r="O26">
        <v>4.4220000000000002E-2</v>
      </c>
    </row>
    <row r="27" spans="1:15" x14ac:dyDescent="0.25">
      <c r="A27" t="s">
        <v>70</v>
      </c>
      <c r="B27" t="s">
        <v>73</v>
      </c>
      <c r="C27" t="s">
        <v>59</v>
      </c>
      <c r="D27" s="3"/>
      <c r="E27" s="3"/>
      <c r="F27" s="3"/>
      <c r="G27" s="3"/>
      <c r="H27" s="3"/>
      <c r="I27">
        <v>0.46200000000000002</v>
      </c>
      <c r="J27">
        <v>0.24640000000000004</v>
      </c>
      <c r="K27">
        <v>0.14080000000000001</v>
      </c>
      <c r="L27">
        <v>0.1012</v>
      </c>
      <c r="M27">
        <v>6.5120000000000011E-2</v>
      </c>
      <c r="N27">
        <v>5.1040000000000002E-2</v>
      </c>
      <c r="O27">
        <v>4.7300000000000009E-2</v>
      </c>
    </row>
    <row r="28" spans="1:15" x14ac:dyDescent="0.25">
      <c r="A28" t="s">
        <v>70</v>
      </c>
      <c r="B28" t="s">
        <v>74</v>
      </c>
      <c r="C28" t="s">
        <v>8</v>
      </c>
      <c r="D28" s="3"/>
      <c r="E28" s="3"/>
      <c r="F28" s="3"/>
      <c r="G28" s="3"/>
      <c r="H28" s="3"/>
      <c r="I28">
        <v>0.44550000000000006</v>
      </c>
      <c r="J28">
        <v>0.25080000000000002</v>
      </c>
      <c r="K28">
        <v>0.15840000000000001</v>
      </c>
      <c r="L28">
        <v>0.12196800000000001</v>
      </c>
      <c r="M28">
        <v>7.1148000000000003E-2</v>
      </c>
      <c r="N28">
        <v>6.67436E-2</v>
      </c>
      <c r="O28">
        <v>6.6044000000000005E-2</v>
      </c>
    </row>
    <row r="29" spans="1:15" x14ac:dyDescent="0.25">
      <c r="A29" t="s">
        <v>70</v>
      </c>
      <c r="B29" t="s">
        <v>74</v>
      </c>
      <c r="C29" t="s">
        <v>59</v>
      </c>
      <c r="D29" s="3"/>
      <c r="E29" s="3"/>
      <c r="F29" s="3"/>
      <c r="G29" s="3"/>
      <c r="H29" s="3"/>
      <c r="I29">
        <v>0.47850000000000004</v>
      </c>
      <c r="J29">
        <v>0.26400000000000001</v>
      </c>
      <c r="K29">
        <v>0.182952</v>
      </c>
      <c r="L29">
        <v>0.132132</v>
      </c>
      <c r="M29">
        <v>7.5891200000000006E-2</v>
      </c>
      <c r="N29">
        <v>7.0131600000000002E-2</v>
      </c>
      <c r="O29">
        <v>6.8824800000000005E-2</v>
      </c>
    </row>
    <row r="30" spans="1:15" x14ac:dyDescent="0.25">
      <c r="A30" t="s">
        <v>70</v>
      </c>
      <c r="B30" t="s">
        <v>75</v>
      </c>
      <c r="C30" t="s">
        <v>8</v>
      </c>
      <c r="D30" s="3"/>
      <c r="E30" s="3"/>
      <c r="F30" s="3"/>
      <c r="G30" s="3"/>
      <c r="H30" s="3"/>
      <c r="I30">
        <v>0.49500000000000005</v>
      </c>
      <c r="J30">
        <v>0.24552000000000002</v>
      </c>
      <c r="K30">
        <v>0.16632</v>
      </c>
      <c r="L30">
        <v>9.5040000000000027E-2</v>
      </c>
      <c r="M30">
        <v>8.3388800000000013E-2</v>
      </c>
      <c r="N30">
        <v>6.1124800000000007E-2</v>
      </c>
      <c r="O30">
        <v>4.9588000000000007E-2</v>
      </c>
    </row>
    <row r="31" spans="1:15" x14ac:dyDescent="0.25">
      <c r="A31" t="s">
        <v>70</v>
      </c>
      <c r="B31" t="s">
        <v>75</v>
      </c>
      <c r="C31" t="s">
        <v>59</v>
      </c>
      <c r="D31" s="3"/>
      <c r="E31" s="3"/>
      <c r="F31" s="3"/>
      <c r="G31" s="3"/>
      <c r="H31" s="3"/>
      <c r="I31">
        <v>0.53460000000000008</v>
      </c>
      <c r="J31">
        <v>0.28511999999999998</v>
      </c>
      <c r="K31">
        <v>0.21049600000000004</v>
      </c>
      <c r="L31">
        <v>0.13560800000000001</v>
      </c>
      <c r="M31">
        <v>9.1484800000000005E-2</v>
      </c>
      <c r="N31">
        <v>6.6387200000000007E-2</v>
      </c>
      <c r="O31">
        <v>5.3028800000000001E-2</v>
      </c>
    </row>
    <row r="32" spans="1:15" x14ac:dyDescent="0.25">
      <c r="A32" t="s">
        <v>13</v>
      </c>
      <c r="B32" t="s">
        <v>15</v>
      </c>
      <c r="C32" t="s">
        <v>7</v>
      </c>
      <c r="D32" s="3"/>
      <c r="E32" s="3"/>
      <c r="F32" s="3"/>
      <c r="G32" s="3"/>
      <c r="H32" s="3"/>
      <c r="I32">
        <v>0.57200000000000006</v>
      </c>
      <c r="J32">
        <v>0.31680000000000003</v>
      </c>
      <c r="K32">
        <v>0.17160000000000003</v>
      </c>
      <c r="L32">
        <v>9.4600000000000004E-2</v>
      </c>
      <c r="M32">
        <v>5.8080000000000007E-2</v>
      </c>
      <c r="N32">
        <v>4.2240000000000007E-2</v>
      </c>
      <c r="O32">
        <v>3.6520000000000004E-2</v>
      </c>
    </row>
    <row r="33" spans="1:15" x14ac:dyDescent="0.25">
      <c r="A33" t="s">
        <v>13</v>
      </c>
      <c r="B33" t="s">
        <v>15</v>
      </c>
      <c r="C33" t="s">
        <v>10</v>
      </c>
      <c r="D33" s="3"/>
      <c r="E33" s="3"/>
      <c r="F33" s="3"/>
      <c r="G33" s="3"/>
      <c r="H33" s="3"/>
      <c r="I33">
        <v>0.6160000000000001</v>
      </c>
      <c r="J33">
        <v>0.34320000000000006</v>
      </c>
      <c r="K33">
        <v>0.18920000000000001</v>
      </c>
      <c r="L33">
        <v>0.10340000000000001</v>
      </c>
      <c r="M33">
        <v>6.6880000000000009E-2</v>
      </c>
      <c r="N33">
        <v>5.8520000000000003E-2</v>
      </c>
      <c r="O33">
        <v>5.0820000000000004E-2</v>
      </c>
    </row>
    <row r="34" spans="1:15" x14ac:dyDescent="0.25">
      <c r="A34" t="s">
        <v>13</v>
      </c>
      <c r="B34" t="s">
        <v>15</v>
      </c>
      <c r="C34" t="s">
        <v>11</v>
      </c>
      <c r="D34" s="3"/>
      <c r="E34" s="3"/>
      <c r="F34" s="3"/>
      <c r="G34" s="3"/>
      <c r="H34" s="3"/>
      <c r="I34">
        <v>0.81400000000000006</v>
      </c>
      <c r="J34">
        <v>0.43120000000000003</v>
      </c>
      <c r="K34">
        <v>0.25520000000000004</v>
      </c>
      <c r="L34">
        <v>0.14080000000000001</v>
      </c>
      <c r="M34">
        <v>9.1520000000000004E-2</v>
      </c>
      <c r="N34">
        <v>8.8000000000000009E-2</v>
      </c>
      <c r="O34">
        <v>7.6560000000000003E-2</v>
      </c>
    </row>
    <row r="35" spans="1:15" x14ac:dyDescent="0.25">
      <c r="A35" t="s">
        <v>13</v>
      </c>
      <c r="B35" t="s">
        <v>15</v>
      </c>
      <c r="C35" t="s">
        <v>12</v>
      </c>
      <c r="D35" s="3"/>
      <c r="E35" s="3"/>
      <c r="F35" s="3"/>
      <c r="G35" s="3"/>
      <c r="H35" s="3"/>
      <c r="I35">
        <v>0.77</v>
      </c>
      <c r="J35">
        <v>0.44880000000000003</v>
      </c>
      <c r="K35">
        <v>0.29040000000000005</v>
      </c>
      <c r="L35">
        <v>0.18480000000000002</v>
      </c>
      <c r="M35">
        <v>9.6800000000000011E-2</v>
      </c>
      <c r="N35">
        <v>8.4920000000000009E-2</v>
      </c>
      <c r="O35">
        <v>8.3600000000000008E-2</v>
      </c>
    </row>
    <row r="36" spans="1:15" x14ac:dyDescent="0.25">
      <c r="A36" t="s">
        <v>13</v>
      </c>
      <c r="B36" t="s">
        <v>16</v>
      </c>
      <c r="C36" t="s">
        <v>7</v>
      </c>
      <c r="D36" s="3"/>
      <c r="E36" s="3"/>
      <c r="F36" s="3"/>
      <c r="G36" s="3"/>
      <c r="H36" s="3"/>
      <c r="I36">
        <v>0.77</v>
      </c>
      <c r="J36">
        <v>0.36960000000000004</v>
      </c>
      <c r="K36">
        <v>0.20680000000000001</v>
      </c>
      <c r="L36">
        <v>0.12100000000000001</v>
      </c>
      <c r="M36">
        <v>8.7120000000000003E-2</v>
      </c>
      <c r="N36">
        <v>5.9840000000000011E-2</v>
      </c>
      <c r="O36">
        <v>5.4560000000000004E-2</v>
      </c>
    </row>
    <row r="37" spans="1:15" x14ac:dyDescent="0.25">
      <c r="A37" t="s">
        <v>13</v>
      </c>
      <c r="B37" t="s">
        <v>16</v>
      </c>
      <c r="C37" t="s">
        <v>10</v>
      </c>
      <c r="D37" s="3"/>
      <c r="E37" s="3"/>
      <c r="F37" s="3"/>
      <c r="G37" s="3"/>
      <c r="H37" s="3"/>
      <c r="I37">
        <v>0.79200000000000004</v>
      </c>
      <c r="J37">
        <v>0.43120000000000003</v>
      </c>
      <c r="K37">
        <v>0.24640000000000004</v>
      </c>
      <c r="L37">
        <v>0.14960000000000001</v>
      </c>
      <c r="M37">
        <v>0.1144</v>
      </c>
      <c r="N37">
        <v>8.7559999999999999E-2</v>
      </c>
      <c r="O37">
        <v>6.9960000000000008E-2</v>
      </c>
    </row>
    <row r="38" spans="1:15" x14ac:dyDescent="0.25">
      <c r="A38" t="s">
        <v>13</v>
      </c>
      <c r="B38" t="s">
        <v>16</v>
      </c>
      <c r="C38" t="s">
        <v>11</v>
      </c>
      <c r="D38" s="3"/>
      <c r="E38" s="3"/>
      <c r="F38" s="3"/>
      <c r="G38" s="3"/>
      <c r="H38" s="3"/>
      <c r="I38">
        <v>0.88</v>
      </c>
      <c r="J38">
        <v>0.44880000000000003</v>
      </c>
      <c r="K38">
        <v>0.25080000000000002</v>
      </c>
      <c r="L38">
        <v>0.1628</v>
      </c>
      <c r="M38">
        <v>0.13376000000000002</v>
      </c>
      <c r="N38">
        <v>0.10164000000000001</v>
      </c>
      <c r="O38">
        <v>9.8119999999999999E-2</v>
      </c>
    </row>
    <row r="39" spans="1:15" x14ac:dyDescent="0.25">
      <c r="A39" t="s">
        <v>13</v>
      </c>
      <c r="B39" t="s">
        <v>16</v>
      </c>
      <c r="C39" t="s">
        <v>12</v>
      </c>
      <c r="D39" s="3"/>
      <c r="E39" s="3"/>
      <c r="F39" s="3"/>
      <c r="G39" s="3"/>
      <c r="H39" s="3"/>
      <c r="I39">
        <v>0.96800000000000008</v>
      </c>
      <c r="J39">
        <v>0.58080000000000009</v>
      </c>
      <c r="K39">
        <v>0.36960000000000004</v>
      </c>
      <c r="L39">
        <v>0.22000000000000003</v>
      </c>
      <c r="M39">
        <v>0.16984000000000002</v>
      </c>
      <c r="N39">
        <v>0.18084</v>
      </c>
      <c r="O39">
        <v>0.13134000000000001</v>
      </c>
    </row>
    <row r="40" spans="1:15" x14ac:dyDescent="0.25">
      <c r="A40" t="s">
        <v>13</v>
      </c>
      <c r="B40" t="s">
        <v>17</v>
      </c>
      <c r="C40" t="s">
        <v>7</v>
      </c>
      <c r="D40" s="3"/>
      <c r="E40" s="3"/>
      <c r="F40" s="3"/>
      <c r="G40" s="3"/>
      <c r="H40" s="3"/>
      <c r="I40">
        <v>0.88</v>
      </c>
      <c r="J40">
        <v>0.58080000000000009</v>
      </c>
      <c r="K40">
        <v>0.33440000000000003</v>
      </c>
      <c r="L40">
        <v>0.1958</v>
      </c>
      <c r="M40">
        <v>0.14080000000000001</v>
      </c>
      <c r="N40">
        <v>0.121</v>
      </c>
      <c r="O40">
        <v>0.10142000000000001</v>
      </c>
    </row>
    <row r="41" spans="1:15" x14ac:dyDescent="0.25">
      <c r="A41" t="s">
        <v>13</v>
      </c>
      <c r="B41" t="s">
        <v>17</v>
      </c>
      <c r="C41" t="s">
        <v>10</v>
      </c>
      <c r="D41" s="3"/>
      <c r="E41" s="3"/>
      <c r="F41" s="3"/>
      <c r="G41" s="3"/>
      <c r="H41" s="3"/>
      <c r="I41">
        <v>0.92400000000000004</v>
      </c>
      <c r="J41">
        <v>0.67759999999999998</v>
      </c>
      <c r="K41">
        <v>0.40040000000000003</v>
      </c>
      <c r="L41">
        <v>0.253</v>
      </c>
      <c r="M41">
        <v>0.20856000000000002</v>
      </c>
      <c r="N41">
        <v>0.16324</v>
      </c>
      <c r="O41">
        <v>0.14630000000000001</v>
      </c>
    </row>
    <row r="42" spans="1:15" x14ac:dyDescent="0.25">
      <c r="A42" t="s">
        <v>13</v>
      </c>
      <c r="B42" t="s">
        <v>17</v>
      </c>
      <c r="C42" t="s">
        <v>11</v>
      </c>
      <c r="D42" s="3"/>
      <c r="E42" s="3"/>
      <c r="F42" s="3"/>
      <c r="G42" s="3"/>
      <c r="H42" s="3"/>
      <c r="I42">
        <v>0.96800000000000008</v>
      </c>
      <c r="J42">
        <v>0.67759999999999998</v>
      </c>
      <c r="K42">
        <v>0.44000000000000006</v>
      </c>
      <c r="L42">
        <v>0.29040000000000005</v>
      </c>
      <c r="M42">
        <v>0.26752000000000004</v>
      </c>
      <c r="N42">
        <v>0.25740000000000002</v>
      </c>
      <c r="O42">
        <v>0.19822000000000004</v>
      </c>
    </row>
    <row r="43" spans="1:15" x14ac:dyDescent="0.25">
      <c r="A43" t="s">
        <v>13</v>
      </c>
      <c r="B43" t="s">
        <v>17</v>
      </c>
      <c r="C43" t="s">
        <v>12</v>
      </c>
      <c r="D43" s="3"/>
      <c r="E43" s="3"/>
      <c r="F43" s="3"/>
      <c r="G43" s="3"/>
      <c r="H43" s="3"/>
      <c r="I43">
        <v>1.32</v>
      </c>
      <c r="J43">
        <v>0.73920000000000008</v>
      </c>
      <c r="K43">
        <v>0.44000000000000006</v>
      </c>
      <c r="L43">
        <v>0.33879999999999999</v>
      </c>
      <c r="M43">
        <v>0.36168</v>
      </c>
      <c r="N43">
        <v>0.26268000000000002</v>
      </c>
      <c r="O43">
        <v>0.15114</v>
      </c>
    </row>
    <row r="44" spans="1:15" x14ac:dyDescent="0.25">
      <c r="A44" t="s">
        <v>13</v>
      </c>
      <c r="B44" t="s">
        <v>18</v>
      </c>
      <c r="C44" t="s">
        <v>7</v>
      </c>
      <c r="D44" s="3"/>
      <c r="E44" s="3"/>
      <c r="F44" s="3"/>
      <c r="G44" s="3"/>
      <c r="H44" s="3"/>
      <c r="I44">
        <v>1.4960000000000002</v>
      </c>
      <c r="J44">
        <v>0.84480000000000011</v>
      </c>
      <c r="K44">
        <v>0.51480000000000004</v>
      </c>
      <c r="L44">
        <v>0.32120000000000004</v>
      </c>
      <c r="M44">
        <v>0.23584000000000002</v>
      </c>
      <c r="N44">
        <v>0.16016000000000002</v>
      </c>
      <c r="O44">
        <v>0.15290000000000004</v>
      </c>
    </row>
    <row r="45" spans="1:15" x14ac:dyDescent="0.25">
      <c r="A45" t="s">
        <v>13</v>
      </c>
      <c r="B45" t="s">
        <v>18</v>
      </c>
      <c r="C45" t="s">
        <v>10</v>
      </c>
      <c r="D45" s="3"/>
      <c r="E45" s="3"/>
      <c r="F45" s="3"/>
      <c r="G45" s="3"/>
      <c r="H45" s="3"/>
      <c r="I45">
        <v>1.5620000000000003</v>
      </c>
      <c r="J45">
        <v>0.91520000000000001</v>
      </c>
      <c r="K45">
        <v>0.55440000000000011</v>
      </c>
      <c r="L45">
        <v>0.43780000000000002</v>
      </c>
      <c r="M45">
        <v>0.29480000000000006</v>
      </c>
      <c r="N45">
        <v>0.22308000000000003</v>
      </c>
      <c r="O45">
        <v>0.20482000000000003</v>
      </c>
    </row>
    <row r="46" spans="1:15" x14ac:dyDescent="0.25">
      <c r="A46" t="s">
        <v>13</v>
      </c>
      <c r="B46" t="s">
        <v>18</v>
      </c>
      <c r="C46" t="s">
        <v>11</v>
      </c>
      <c r="D46" s="3"/>
      <c r="E46" s="3"/>
      <c r="F46" s="3"/>
      <c r="G46" s="3"/>
      <c r="H46" s="3"/>
      <c r="I46">
        <v>1.4520000000000002</v>
      </c>
      <c r="J46">
        <v>0.80080000000000007</v>
      </c>
      <c r="K46">
        <v>0.49720000000000003</v>
      </c>
      <c r="L46">
        <v>0.43560000000000004</v>
      </c>
      <c r="M46">
        <v>0.41360000000000002</v>
      </c>
      <c r="N46">
        <v>0.29436000000000001</v>
      </c>
      <c r="O46">
        <v>0.15906000000000001</v>
      </c>
    </row>
    <row r="47" spans="1:15" x14ac:dyDescent="0.25">
      <c r="D47" s="3"/>
      <c r="E47" s="3"/>
      <c r="F47" s="3"/>
      <c r="G47" s="3"/>
      <c r="H47" s="3"/>
    </row>
    <row r="48" spans="1:15" x14ac:dyDescent="0.25">
      <c r="A48" t="s">
        <v>19</v>
      </c>
      <c r="B48" t="s">
        <v>15</v>
      </c>
      <c r="C48" t="s">
        <v>59</v>
      </c>
      <c r="D48" s="3"/>
      <c r="E48" s="3"/>
      <c r="F48" s="3"/>
      <c r="G48">
        <v>4.7520000000000007</v>
      </c>
      <c r="H48">
        <v>2.9304000000000001</v>
      </c>
      <c r="I48">
        <v>1.8414000000000001</v>
      </c>
      <c r="J48">
        <v>1.2117599999999999</v>
      </c>
      <c r="K48">
        <v>1.0573200000000003</v>
      </c>
      <c r="L48">
        <v>0.98850400000000005</v>
      </c>
      <c r="M48" s="3"/>
      <c r="N48" s="3"/>
      <c r="O48" s="3"/>
    </row>
    <row r="49" spans="1:15" x14ac:dyDescent="0.25">
      <c r="A49" t="s">
        <v>19</v>
      </c>
      <c r="B49" t="s">
        <v>20</v>
      </c>
      <c r="C49" t="s">
        <v>59</v>
      </c>
      <c r="D49" s="3"/>
      <c r="E49" s="3"/>
      <c r="F49" s="3"/>
      <c r="G49">
        <v>5.8608000000000002</v>
      </c>
      <c r="H49">
        <v>3.6431999999999998</v>
      </c>
      <c r="I49">
        <v>2.5542000000000002</v>
      </c>
      <c r="J49">
        <v>2.0829599999999999</v>
      </c>
      <c r="K49">
        <v>1.9479680000000004</v>
      </c>
      <c r="L49">
        <v>1.7929560000000002</v>
      </c>
      <c r="M49" s="3"/>
      <c r="N49" s="3"/>
      <c r="O49" s="3"/>
    </row>
    <row r="50" spans="1:15" x14ac:dyDescent="0.25">
      <c r="A50" t="s">
        <v>19</v>
      </c>
      <c r="B50" t="s">
        <v>21</v>
      </c>
      <c r="C50" t="s">
        <v>59</v>
      </c>
      <c r="D50" s="3"/>
      <c r="E50" s="3"/>
      <c r="F50" s="3"/>
      <c r="G50">
        <v>7.3656000000000006</v>
      </c>
      <c r="H50">
        <v>5.1084000000000005</v>
      </c>
      <c r="I50">
        <v>4.3163999999999998</v>
      </c>
      <c r="J50">
        <v>3.8712960000000001</v>
      </c>
      <c r="K50">
        <v>3.5610960000000005</v>
      </c>
      <c r="L50">
        <v>3.4969880000000004</v>
      </c>
      <c r="M50" s="3"/>
      <c r="N50" s="3"/>
      <c r="O50" s="3"/>
    </row>
    <row r="51" spans="1:15" x14ac:dyDescent="0.25">
      <c r="A51" t="s">
        <v>22</v>
      </c>
      <c r="B51" t="s">
        <v>23</v>
      </c>
      <c r="C51" t="s">
        <v>8</v>
      </c>
      <c r="D51" s="3"/>
      <c r="E51" s="3"/>
      <c r="F51">
        <v>4.136000000000001</v>
      </c>
      <c r="G51">
        <v>2.31616</v>
      </c>
      <c r="H51">
        <v>1.5303200000000001</v>
      </c>
      <c r="I51">
        <v>1.1167200000000002</v>
      </c>
      <c r="J51">
        <v>0.50459200000000015</v>
      </c>
      <c r="K51">
        <v>0.28952000000000006</v>
      </c>
      <c r="L51">
        <v>0.18405200000000002</v>
      </c>
      <c r="M51">
        <v>0.13752200000000003</v>
      </c>
      <c r="N51">
        <v>0.112706</v>
      </c>
      <c r="O51">
        <v>0.10009120000000001</v>
      </c>
    </row>
    <row r="52" spans="1:15" x14ac:dyDescent="0.25">
      <c r="A52" t="s">
        <v>22</v>
      </c>
      <c r="B52" t="s">
        <v>24</v>
      </c>
      <c r="C52" t="s">
        <v>8</v>
      </c>
      <c r="D52" s="3"/>
      <c r="E52" s="3"/>
      <c r="F52">
        <v>4.3427999999999995</v>
      </c>
      <c r="G52">
        <v>2.3988800000000001</v>
      </c>
      <c r="H52">
        <v>1.61304</v>
      </c>
      <c r="I52">
        <v>1.1167200000000002</v>
      </c>
      <c r="J52">
        <v>0.50459200000000015</v>
      </c>
      <c r="K52">
        <v>0.29365600000000003</v>
      </c>
      <c r="L52">
        <v>0.18612000000000001</v>
      </c>
      <c r="M52">
        <v>0.13752200000000003</v>
      </c>
      <c r="N52">
        <v>0.11891</v>
      </c>
      <c r="O52">
        <v>0.11063800000000001</v>
      </c>
    </row>
    <row r="53" spans="1:15" x14ac:dyDescent="0.25">
      <c r="A53" t="s">
        <v>22</v>
      </c>
      <c r="B53" t="s">
        <v>25</v>
      </c>
      <c r="C53" t="s">
        <v>8</v>
      </c>
      <c r="D53" s="3"/>
      <c r="E53" s="3"/>
      <c r="F53">
        <v>4.5495999999999999</v>
      </c>
      <c r="G53">
        <v>2.8952000000000004</v>
      </c>
      <c r="H53">
        <v>1.9439200000000003</v>
      </c>
      <c r="I53">
        <v>1.32352</v>
      </c>
      <c r="J53">
        <v>0.58731200000000006</v>
      </c>
      <c r="K53">
        <v>0.34742399999999996</v>
      </c>
      <c r="L53">
        <v>0.22334400000000001</v>
      </c>
      <c r="M53">
        <v>0.172678</v>
      </c>
      <c r="N53">
        <v>0.13958999999999999</v>
      </c>
      <c r="O53">
        <v>0.12242560000000001</v>
      </c>
    </row>
    <row r="54" spans="1:15" x14ac:dyDescent="0.25">
      <c r="A54" t="s">
        <v>26</v>
      </c>
      <c r="B54" t="s">
        <v>27</v>
      </c>
      <c r="C54" t="s">
        <v>8</v>
      </c>
      <c r="D54">
        <v>31.680000000000003</v>
      </c>
      <c r="E54">
        <v>6.3360000000000003</v>
      </c>
      <c r="F54">
        <v>3.1680000000000001</v>
      </c>
      <c r="G54">
        <v>1.2672000000000001</v>
      </c>
      <c r="H54">
        <v>0.63360000000000005</v>
      </c>
      <c r="I54">
        <v>0.3696000000000001</v>
      </c>
      <c r="J54">
        <v>0.21824000000000005</v>
      </c>
      <c r="K54">
        <v>0.14080000000000001</v>
      </c>
      <c r="L54">
        <v>0.12903000000000001</v>
      </c>
      <c r="M54">
        <v>0.11444400000000003</v>
      </c>
      <c r="N54" s="3"/>
      <c r="O54" s="3"/>
    </row>
    <row r="55" spans="1:15" x14ac:dyDescent="0.25">
      <c r="A55" t="s">
        <v>26</v>
      </c>
      <c r="B55" t="s">
        <v>28</v>
      </c>
      <c r="C55" t="s">
        <v>8</v>
      </c>
      <c r="D55">
        <v>61.600000000000009</v>
      </c>
      <c r="E55">
        <v>12.320000000000002</v>
      </c>
      <c r="F55">
        <v>6.160000000000001</v>
      </c>
      <c r="G55">
        <v>2.4640000000000004</v>
      </c>
      <c r="H55">
        <v>1.2320000000000002</v>
      </c>
      <c r="I55">
        <v>0.82720000000000016</v>
      </c>
      <c r="J55">
        <v>0.74800000000000011</v>
      </c>
      <c r="K55">
        <v>0.68067999999999995</v>
      </c>
      <c r="L55">
        <v>0.68112000000000017</v>
      </c>
      <c r="M55">
        <v>0.65736000000000006</v>
      </c>
      <c r="N55" s="3"/>
      <c r="O55" s="3"/>
    </row>
    <row r="56" spans="1:15" x14ac:dyDescent="0.25">
      <c r="A56" t="s">
        <v>26</v>
      </c>
      <c r="B56" t="s">
        <v>29</v>
      </c>
      <c r="C56" t="s">
        <v>8</v>
      </c>
      <c r="D56">
        <v>46.2</v>
      </c>
      <c r="E56">
        <v>12.760000000000002</v>
      </c>
      <c r="F56">
        <v>8.3600000000000012</v>
      </c>
      <c r="G56">
        <v>4.048</v>
      </c>
      <c r="H56">
        <v>2.7280000000000002</v>
      </c>
      <c r="I56">
        <v>2.3540000000000001</v>
      </c>
      <c r="J56">
        <v>1.9360000000000002</v>
      </c>
      <c r="K56">
        <v>1.6280000000000003</v>
      </c>
      <c r="L56" s="3"/>
      <c r="M56" s="3"/>
      <c r="N56" s="3"/>
      <c r="O56" s="3"/>
    </row>
    <row r="57" spans="1:15" x14ac:dyDescent="0.25">
      <c r="A57" t="s">
        <v>30</v>
      </c>
      <c r="B57" t="s">
        <v>27</v>
      </c>
      <c r="C57" t="s">
        <v>8</v>
      </c>
      <c r="D57">
        <v>31.680000000000003</v>
      </c>
      <c r="E57">
        <v>6.3360000000000003</v>
      </c>
      <c r="F57">
        <v>3.1680000000000001</v>
      </c>
      <c r="G57">
        <v>1.2672000000000001</v>
      </c>
      <c r="H57">
        <v>0.63360000000000005</v>
      </c>
      <c r="I57">
        <v>0.3696000000000001</v>
      </c>
      <c r="J57">
        <v>0.21824000000000005</v>
      </c>
      <c r="K57">
        <v>0.14080000000000001</v>
      </c>
      <c r="L57">
        <v>0.12903000000000001</v>
      </c>
      <c r="M57">
        <v>0.11444400000000003</v>
      </c>
      <c r="N57" s="3"/>
      <c r="O57" s="3"/>
    </row>
    <row r="58" spans="1:15" x14ac:dyDescent="0.25">
      <c r="A58" t="s">
        <v>30</v>
      </c>
      <c r="B58" t="s">
        <v>28</v>
      </c>
      <c r="C58" t="s">
        <v>8</v>
      </c>
      <c r="D58">
        <v>70.400000000000006</v>
      </c>
      <c r="E58">
        <v>14.080000000000002</v>
      </c>
      <c r="F58">
        <v>7.0400000000000009</v>
      </c>
      <c r="G58">
        <v>2.8160000000000003</v>
      </c>
      <c r="H58">
        <v>1.4080000000000001</v>
      </c>
      <c r="I58">
        <v>0.99109999999999998</v>
      </c>
      <c r="J58">
        <v>0.51612000000000002</v>
      </c>
      <c r="K58">
        <v>0.46002000000000004</v>
      </c>
      <c r="L58">
        <v>0.43571000000000004</v>
      </c>
      <c r="M58" s="3"/>
      <c r="N58" s="3"/>
      <c r="O58" s="3"/>
    </row>
    <row r="59" spans="1:15" x14ac:dyDescent="0.25">
      <c r="A59" t="s">
        <v>30</v>
      </c>
      <c r="B59" t="s">
        <v>29</v>
      </c>
      <c r="C59" t="s">
        <v>8</v>
      </c>
      <c r="D59">
        <v>129.03</v>
      </c>
      <c r="E59">
        <v>12.760000000000002</v>
      </c>
      <c r="F59">
        <v>8.3600000000000012</v>
      </c>
      <c r="G59">
        <v>4.048</v>
      </c>
      <c r="H59">
        <v>2.7280000000000002</v>
      </c>
      <c r="I59">
        <v>2.3540000000000001</v>
      </c>
      <c r="J59">
        <v>1.9360000000000002</v>
      </c>
      <c r="K59">
        <v>1.6280000000000003</v>
      </c>
      <c r="L59" s="3"/>
      <c r="M59" s="3"/>
      <c r="N59" s="3"/>
      <c r="O59" s="3"/>
    </row>
    <row r="60" spans="1:15" x14ac:dyDescent="0.25">
      <c r="A60" t="s">
        <v>76</v>
      </c>
      <c r="B60" t="s">
        <v>31</v>
      </c>
      <c r="C60" t="s">
        <v>8</v>
      </c>
      <c r="D60" s="3"/>
      <c r="E60" s="3"/>
      <c r="F60" s="3"/>
      <c r="G60" s="3"/>
      <c r="H60" s="3"/>
      <c r="I60">
        <v>0.19899999999999998</v>
      </c>
      <c r="J60">
        <v>0.1196</v>
      </c>
      <c r="K60">
        <v>7.9799999999999996E-2</v>
      </c>
      <c r="L60">
        <v>4.5899999999999996E-2</v>
      </c>
      <c r="M60" s="3"/>
      <c r="N60" s="3"/>
      <c r="O60" s="3"/>
    </row>
    <row r="61" spans="1:15" x14ac:dyDescent="0.25">
      <c r="A61" t="s">
        <v>76</v>
      </c>
      <c r="B61" t="s">
        <v>31</v>
      </c>
      <c r="C61" t="s">
        <v>9</v>
      </c>
      <c r="D61" s="3"/>
      <c r="E61" s="3"/>
      <c r="F61" s="3"/>
      <c r="G61" s="3"/>
      <c r="H61" s="3"/>
      <c r="I61">
        <v>0.29899999999999999</v>
      </c>
      <c r="J61">
        <v>0.15959999999999999</v>
      </c>
      <c r="K61">
        <v>9.98E-2</v>
      </c>
      <c r="L61">
        <v>5.9900000000000002E-2</v>
      </c>
      <c r="M61" s="3"/>
      <c r="N61" s="3"/>
      <c r="O61" s="3"/>
    </row>
    <row r="62" spans="1:15" x14ac:dyDescent="0.25">
      <c r="A62" t="s">
        <v>76</v>
      </c>
      <c r="B62" t="s">
        <v>32</v>
      </c>
      <c r="C62" t="s">
        <v>8</v>
      </c>
      <c r="D62" s="3"/>
      <c r="E62" s="3"/>
      <c r="F62" s="3"/>
      <c r="G62" s="3"/>
      <c r="H62" s="3"/>
      <c r="I62">
        <v>0.34899999999999998</v>
      </c>
      <c r="J62">
        <v>0.18359999999999999</v>
      </c>
      <c r="K62">
        <v>0.1118</v>
      </c>
      <c r="L62">
        <v>6.4899999999999999E-2</v>
      </c>
      <c r="M62" s="3"/>
      <c r="N62" s="3"/>
      <c r="O62" s="3"/>
    </row>
    <row r="63" spans="1:15" x14ac:dyDescent="0.25">
      <c r="A63" t="s">
        <v>76</v>
      </c>
      <c r="B63" t="s">
        <v>32</v>
      </c>
      <c r="C63" t="s">
        <v>9</v>
      </c>
      <c r="D63" s="3"/>
      <c r="E63" s="3"/>
      <c r="F63" s="3"/>
      <c r="G63" s="3"/>
      <c r="H63" s="3"/>
      <c r="I63">
        <v>0.39899999999999997</v>
      </c>
      <c r="J63">
        <v>0.1996</v>
      </c>
      <c r="K63">
        <v>0.1198</v>
      </c>
      <c r="L63">
        <v>6.9900000000000004E-2</v>
      </c>
      <c r="M63" s="3"/>
      <c r="N63" s="3"/>
      <c r="O63" s="3"/>
    </row>
    <row r="64" spans="1:15" x14ac:dyDescent="0.25">
      <c r="A64" s="6" t="s">
        <v>33</v>
      </c>
      <c r="B64" t="s">
        <v>35</v>
      </c>
      <c r="C64" t="s">
        <v>34</v>
      </c>
      <c r="D64" s="3"/>
      <c r="E64" s="3"/>
      <c r="F64" s="3"/>
      <c r="G64" s="3"/>
      <c r="H64" s="3"/>
      <c r="I64">
        <v>0.4536</v>
      </c>
      <c r="J64">
        <v>0.29959199999999997</v>
      </c>
      <c r="K64">
        <v>0.247032</v>
      </c>
      <c r="L64">
        <v>0.1764</v>
      </c>
      <c r="M64">
        <v>8.3044800000000016E-2</v>
      </c>
      <c r="N64">
        <v>7.3583999999999997E-2</v>
      </c>
      <c r="O64" s="3"/>
    </row>
    <row r="65" spans="1:15" x14ac:dyDescent="0.25">
      <c r="A65" s="6" t="s">
        <v>33</v>
      </c>
      <c r="B65" t="s">
        <v>36</v>
      </c>
      <c r="C65" t="s">
        <v>34</v>
      </c>
      <c r="D65" s="3"/>
      <c r="E65" s="3"/>
      <c r="F65" s="3"/>
      <c r="G65" s="3"/>
      <c r="H65" s="3"/>
      <c r="I65">
        <v>0.3528</v>
      </c>
      <c r="J65">
        <v>0.2016</v>
      </c>
      <c r="K65">
        <v>0.14716799999999999</v>
      </c>
      <c r="L65">
        <v>0.12220200000000001</v>
      </c>
      <c r="M65">
        <v>5.0457600000000005E-2</v>
      </c>
      <c r="N65">
        <v>3.9682800000000004E-2</v>
      </c>
      <c r="O65" s="3"/>
    </row>
    <row r="66" spans="1:15" x14ac:dyDescent="0.25">
      <c r="A66" s="6" t="s">
        <v>33</v>
      </c>
      <c r="B66" t="s">
        <v>37</v>
      </c>
      <c r="C66" t="s">
        <v>34</v>
      </c>
      <c r="D66" s="3"/>
      <c r="E66" s="3"/>
      <c r="F66" s="3"/>
      <c r="G66" s="3"/>
      <c r="H66" s="3"/>
      <c r="I66">
        <v>0.3024</v>
      </c>
      <c r="J66">
        <v>0.14615999999999998</v>
      </c>
      <c r="K66">
        <v>9.8280000000000006E-2</v>
      </c>
      <c r="L66">
        <v>7.7525999999999998E-2</v>
      </c>
      <c r="M66">
        <v>3.4164000000000007E-2</v>
      </c>
      <c r="N66">
        <v>2.7068400000000003E-2</v>
      </c>
      <c r="O66" s="3"/>
    </row>
    <row r="67" spans="1:15" x14ac:dyDescent="0.25">
      <c r="A67" s="6" t="s">
        <v>33</v>
      </c>
      <c r="B67" t="s">
        <v>35</v>
      </c>
      <c r="C67" t="s">
        <v>38</v>
      </c>
      <c r="D67" s="3"/>
      <c r="E67" s="3"/>
      <c r="F67" s="3"/>
      <c r="G67" s="3"/>
      <c r="H67" s="3"/>
      <c r="I67">
        <f>(37*(0.85*2))/100</f>
        <v>0.629</v>
      </c>
      <c r="J67">
        <f>(74*(0.85*2))/250</f>
        <v>0.50319999999999998</v>
      </c>
      <c r="K67">
        <f>(99*(0.85*2))/500</f>
        <v>0.33659999999999995</v>
      </c>
      <c r="L67">
        <f>(139*(0.85*2))/1000</f>
        <v>0.23629999999999998</v>
      </c>
      <c r="M67">
        <f>(265*(0.85*2))/2500</f>
        <v>0.1802</v>
      </c>
      <c r="N67">
        <f>(481*(0.85*2))/5000</f>
        <v>0.16353999999999999</v>
      </c>
      <c r="O67" s="3"/>
    </row>
    <row r="68" spans="1:15" x14ac:dyDescent="0.25">
      <c r="A68" s="6" t="s">
        <v>33</v>
      </c>
      <c r="B68" t="s">
        <v>36</v>
      </c>
      <c r="C68" t="s">
        <v>38</v>
      </c>
      <c r="D68" s="3"/>
      <c r="E68" s="3"/>
      <c r="F68" s="3"/>
      <c r="G68" s="3"/>
      <c r="H68" s="3"/>
      <c r="I68">
        <f>(27*(0.85*2))/100</f>
        <v>0.45899999999999996</v>
      </c>
      <c r="J68">
        <f>(40*(0.85*2))/250</f>
        <v>0.27200000000000002</v>
      </c>
      <c r="K68">
        <f>(48*(0.85*2))/500</f>
        <v>0.16319999999999998</v>
      </c>
      <c r="L68">
        <f>(66*(0.85*2))/1000</f>
        <v>0.11220000000000001</v>
      </c>
      <c r="M68">
        <f>(122*(0.85*2))/2500</f>
        <v>8.2960000000000006E-2</v>
      </c>
      <c r="N68">
        <f>(213*(0.85*2))/5000</f>
        <v>7.2419999999999998E-2</v>
      </c>
      <c r="O68" s="3"/>
    </row>
    <row r="69" spans="1:15" x14ac:dyDescent="0.25">
      <c r="A69" s="6" t="s">
        <v>33</v>
      </c>
      <c r="B69" s="7" t="s">
        <v>39</v>
      </c>
      <c r="C69" t="s">
        <v>8</v>
      </c>
      <c r="D69" s="3"/>
      <c r="E69" s="3"/>
      <c r="F69" s="3"/>
      <c r="G69" s="3"/>
      <c r="H69">
        <v>2.16</v>
      </c>
      <c r="I69">
        <v>1.72</v>
      </c>
      <c r="J69">
        <v>1.51</v>
      </c>
      <c r="K69">
        <v>1.26</v>
      </c>
      <c r="L69" s="3"/>
      <c r="M69" s="3"/>
      <c r="N69" s="3"/>
      <c r="O69" s="3"/>
    </row>
    <row r="70" spans="1:15" x14ac:dyDescent="0.25">
      <c r="A70" t="s">
        <v>45</v>
      </c>
      <c r="B70" t="s">
        <v>40</v>
      </c>
      <c r="C70" t="s">
        <v>8</v>
      </c>
      <c r="D70">
        <v>75.375</v>
      </c>
      <c r="E70">
        <v>75.375</v>
      </c>
      <c r="F70">
        <v>75.375</v>
      </c>
      <c r="G70">
        <v>75.375</v>
      </c>
      <c r="H70" s="3"/>
      <c r="I70" s="3"/>
      <c r="J70" s="3"/>
      <c r="K70" s="3"/>
      <c r="L70" s="3"/>
      <c r="M70" s="3"/>
      <c r="N70" s="3"/>
      <c r="O70" s="3"/>
    </row>
    <row r="71" spans="1:15" x14ac:dyDescent="0.25">
      <c r="A71" t="s">
        <v>45</v>
      </c>
      <c r="B71" t="s">
        <v>41</v>
      </c>
      <c r="C71" t="s">
        <v>8</v>
      </c>
      <c r="D71">
        <v>87.5</v>
      </c>
      <c r="E71">
        <v>87.5</v>
      </c>
      <c r="F71">
        <v>87.5</v>
      </c>
      <c r="G71">
        <v>87.5</v>
      </c>
      <c r="H71" s="3"/>
      <c r="I71" s="3"/>
      <c r="J71" s="3"/>
      <c r="K71" s="3"/>
      <c r="L71" s="3"/>
      <c r="M71" s="3"/>
      <c r="N71" s="3"/>
      <c r="O71" s="3"/>
    </row>
    <row r="72" spans="1:15" x14ac:dyDescent="0.25">
      <c r="A72" t="s">
        <v>45</v>
      </c>
      <c r="B72" t="s">
        <v>42</v>
      </c>
      <c r="C72" t="s">
        <v>8</v>
      </c>
      <c r="D72">
        <v>124.25</v>
      </c>
      <c r="E72">
        <v>124.25</v>
      </c>
      <c r="F72">
        <v>124.25</v>
      </c>
      <c r="G72">
        <v>124.25</v>
      </c>
      <c r="H72" s="3"/>
      <c r="I72" s="3"/>
      <c r="J72" s="3"/>
      <c r="K72" s="3"/>
      <c r="L72" s="3"/>
      <c r="M72" s="3"/>
      <c r="N72" s="3"/>
      <c r="O72" s="3"/>
    </row>
    <row r="73" spans="1:15" x14ac:dyDescent="0.25">
      <c r="A73" t="s">
        <v>45</v>
      </c>
      <c r="B73" t="s">
        <v>43</v>
      </c>
      <c r="C73" t="s">
        <v>8</v>
      </c>
      <c r="D73">
        <v>150.5</v>
      </c>
      <c r="E73">
        <v>150.5</v>
      </c>
      <c r="F73">
        <v>150.5</v>
      </c>
      <c r="G73">
        <v>150.5</v>
      </c>
      <c r="H73" s="3"/>
      <c r="I73" s="3"/>
      <c r="J73" s="3"/>
      <c r="K73" s="3"/>
      <c r="L73" s="3"/>
      <c r="M73" s="3"/>
      <c r="N73" s="3"/>
      <c r="O73" s="3"/>
    </row>
    <row r="74" spans="1:15" x14ac:dyDescent="0.25">
      <c r="A74" t="s">
        <v>45</v>
      </c>
      <c r="B74" t="s">
        <v>44</v>
      </c>
      <c r="C74" t="s">
        <v>8</v>
      </c>
      <c r="D74">
        <v>176.75</v>
      </c>
      <c r="E74">
        <v>176.75</v>
      </c>
      <c r="F74">
        <v>176.75</v>
      </c>
      <c r="G74">
        <v>176.75</v>
      </c>
      <c r="H74" s="3"/>
      <c r="I74" s="3"/>
      <c r="J74" s="3"/>
      <c r="K74" s="3"/>
      <c r="L74" s="3"/>
      <c r="M74" s="3"/>
      <c r="N74" s="3"/>
      <c r="O74" s="3"/>
    </row>
    <row r="75" spans="1:15" x14ac:dyDescent="0.25">
      <c r="A75" t="s">
        <v>46</v>
      </c>
      <c r="B75" t="s">
        <v>47</v>
      </c>
      <c r="C75" t="s">
        <v>8</v>
      </c>
      <c r="D75" s="3"/>
      <c r="E75" s="3"/>
      <c r="F75" s="3"/>
      <c r="G75" s="3"/>
      <c r="H75" s="3"/>
      <c r="I75">
        <v>0.96800000000000008</v>
      </c>
      <c r="J75">
        <v>0.74800000000000011</v>
      </c>
      <c r="K75">
        <v>0.62480000000000002</v>
      </c>
      <c r="L75">
        <v>0.5918000000000001</v>
      </c>
      <c r="M75">
        <v>0.45408000000000004</v>
      </c>
      <c r="N75">
        <v>0.35376000000000002</v>
      </c>
      <c r="O75" s="3"/>
    </row>
    <row r="76" spans="1:15" x14ac:dyDescent="0.25">
      <c r="A76" t="s">
        <v>46</v>
      </c>
      <c r="B76" t="s">
        <v>48</v>
      </c>
      <c r="C76" t="s">
        <v>9</v>
      </c>
      <c r="D76" s="3"/>
      <c r="E76" s="3"/>
      <c r="F76" s="3"/>
      <c r="G76" s="3"/>
      <c r="H76" s="3"/>
      <c r="I76">
        <v>1.254</v>
      </c>
      <c r="J76">
        <v>1.1176000000000001</v>
      </c>
      <c r="K76">
        <v>0.9284</v>
      </c>
      <c r="L76">
        <v>0.78980000000000006</v>
      </c>
      <c r="M76">
        <v>0.54032000000000002</v>
      </c>
      <c r="N76">
        <v>0.41095999999999999</v>
      </c>
      <c r="O76" s="3"/>
    </row>
    <row r="77" spans="1:15" x14ac:dyDescent="0.25">
      <c r="A77" t="s">
        <v>46</v>
      </c>
      <c r="B77" t="s">
        <v>49</v>
      </c>
      <c r="C77" t="s">
        <v>8</v>
      </c>
      <c r="D77" s="3"/>
      <c r="E77" s="3"/>
      <c r="F77" s="3"/>
      <c r="G77" s="3"/>
      <c r="H77" s="3"/>
      <c r="I77">
        <v>1.034</v>
      </c>
      <c r="J77">
        <v>0.79200000000000004</v>
      </c>
      <c r="K77">
        <v>0.66</v>
      </c>
      <c r="L77">
        <v>0.62260000000000004</v>
      </c>
      <c r="M77">
        <v>0.52888000000000002</v>
      </c>
      <c r="N77">
        <v>0.38324000000000003</v>
      </c>
      <c r="O77" s="3"/>
    </row>
    <row r="78" spans="1:15" x14ac:dyDescent="0.25">
      <c r="A78" t="s">
        <v>46</v>
      </c>
      <c r="B78" t="s">
        <v>50</v>
      </c>
      <c r="C78" t="s">
        <v>9</v>
      </c>
      <c r="D78" s="3"/>
      <c r="E78" s="3"/>
      <c r="F78" s="3"/>
      <c r="G78" s="3"/>
      <c r="H78" s="3"/>
      <c r="I78">
        <v>1.3420000000000001</v>
      </c>
      <c r="J78">
        <v>1.1792000000000002</v>
      </c>
      <c r="K78">
        <v>0.98120000000000007</v>
      </c>
      <c r="L78">
        <v>0.83600000000000008</v>
      </c>
      <c r="M78">
        <v>0.5684800000000001</v>
      </c>
      <c r="N78">
        <v>0.44703999999999999</v>
      </c>
      <c r="O78" s="3"/>
    </row>
    <row r="79" spans="1:15" x14ac:dyDescent="0.25">
      <c r="A79" t="s">
        <v>51</v>
      </c>
      <c r="B79" t="s">
        <v>52</v>
      </c>
      <c r="C79" t="s">
        <v>8</v>
      </c>
      <c r="D79" s="3"/>
      <c r="E79" s="3"/>
      <c r="F79" s="3"/>
      <c r="G79" s="3"/>
      <c r="H79">
        <v>1.1760000000000002</v>
      </c>
      <c r="I79">
        <v>0.73499999999999999</v>
      </c>
      <c r="J79">
        <v>0.60899999999999999</v>
      </c>
      <c r="K79">
        <v>0.56700000000000006</v>
      </c>
      <c r="L79">
        <v>0.56700000000000006</v>
      </c>
      <c r="M79" s="3"/>
      <c r="N79" s="3"/>
      <c r="O79" s="3"/>
    </row>
    <row r="80" spans="1:15" x14ac:dyDescent="0.25">
      <c r="A80" t="s">
        <v>51</v>
      </c>
      <c r="B80" t="s">
        <v>53</v>
      </c>
      <c r="C80" t="s">
        <v>8</v>
      </c>
      <c r="D80" s="3"/>
      <c r="E80" s="3"/>
      <c r="F80" s="3"/>
      <c r="G80" s="3"/>
      <c r="H80">
        <v>1.6380000000000001</v>
      </c>
      <c r="I80">
        <v>1.1130000000000002</v>
      </c>
      <c r="J80">
        <v>1.0710000000000002</v>
      </c>
      <c r="K80">
        <v>0.98699999999999999</v>
      </c>
      <c r="L80">
        <v>0.92400000000000004</v>
      </c>
      <c r="M80" s="3"/>
      <c r="N80" s="3"/>
      <c r="O80" s="3"/>
    </row>
    <row r="81" spans="1:15" x14ac:dyDescent="0.25">
      <c r="A81" t="s">
        <v>51</v>
      </c>
      <c r="B81" t="s">
        <v>54</v>
      </c>
      <c r="C81" t="s">
        <v>8</v>
      </c>
      <c r="D81" s="3"/>
      <c r="E81" s="3"/>
      <c r="F81" s="3"/>
      <c r="G81" s="3"/>
      <c r="H81">
        <v>2.3520000000000003</v>
      </c>
      <c r="I81">
        <v>1.3230000000000002</v>
      </c>
      <c r="J81">
        <v>1.1760000000000002</v>
      </c>
      <c r="K81">
        <v>1.0710000000000002</v>
      </c>
      <c r="L81">
        <v>1.05</v>
      </c>
      <c r="M81" s="3"/>
      <c r="N81" s="3"/>
      <c r="O81" s="3"/>
    </row>
    <row r="82" spans="1:15" x14ac:dyDescent="0.25">
      <c r="A82" t="s">
        <v>51</v>
      </c>
      <c r="B82" t="s">
        <v>55</v>
      </c>
      <c r="C82" t="s">
        <v>8</v>
      </c>
      <c r="D82" s="3"/>
      <c r="E82" s="3"/>
      <c r="F82" s="3"/>
      <c r="G82" s="3"/>
      <c r="H82">
        <v>3.2340000000000004</v>
      </c>
      <c r="I82">
        <v>2.1</v>
      </c>
      <c r="J82">
        <v>1.9949999999999999</v>
      </c>
      <c r="K82">
        <v>1.554</v>
      </c>
      <c r="L82">
        <v>1.4489999999999998</v>
      </c>
      <c r="M82" s="3"/>
      <c r="N82" s="3"/>
      <c r="O82" s="3"/>
    </row>
    <row r="83" spans="1:15" x14ac:dyDescent="0.25">
      <c r="A83" t="s">
        <v>51</v>
      </c>
      <c r="B83" t="s">
        <v>56</v>
      </c>
      <c r="C83" t="s">
        <v>8</v>
      </c>
      <c r="D83" s="3"/>
      <c r="E83" s="3"/>
      <c r="F83" s="3"/>
      <c r="G83" s="3"/>
      <c r="H83">
        <v>3.528</v>
      </c>
      <c r="I83">
        <v>2.0579999999999998</v>
      </c>
      <c r="J83">
        <v>1.8480000000000001</v>
      </c>
      <c r="K83">
        <v>1.4489999999999998</v>
      </c>
      <c r="L83">
        <v>1.4070000000000003</v>
      </c>
      <c r="M83" s="3"/>
      <c r="N83" s="3"/>
      <c r="O83" s="3"/>
    </row>
    <row r="84" spans="1:15" x14ac:dyDescent="0.25">
      <c r="A84" t="s">
        <v>51</v>
      </c>
      <c r="B84" t="s">
        <v>57</v>
      </c>
      <c r="C84" t="s">
        <v>8</v>
      </c>
      <c r="D84" s="3"/>
      <c r="E84" s="3"/>
      <c r="F84" s="3"/>
      <c r="G84" s="3"/>
      <c r="H84">
        <v>3.8640000000000003</v>
      </c>
      <c r="I84">
        <v>3.2760000000000002</v>
      </c>
      <c r="J84">
        <v>3.129</v>
      </c>
      <c r="K84">
        <v>2.5619999999999998</v>
      </c>
      <c r="L84">
        <v>2.52</v>
      </c>
      <c r="M84" s="3"/>
      <c r="N84" s="3"/>
      <c r="O84" s="3"/>
    </row>
    <row r="85" spans="1:15" x14ac:dyDescent="0.25">
      <c r="A85" t="s">
        <v>89</v>
      </c>
      <c r="B85" t="s">
        <v>90</v>
      </c>
      <c r="C85" t="s">
        <v>91</v>
      </c>
      <c r="D85" s="3"/>
      <c r="E85" s="3"/>
      <c r="F85">
        <v>3.3</v>
      </c>
      <c r="G85">
        <v>1.56</v>
      </c>
      <c r="H85">
        <v>0.82</v>
      </c>
      <c r="I85">
        <v>0.46</v>
      </c>
      <c r="J85">
        <v>0.26400000000000001</v>
      </c>
      <c r="K85" s="3"/>
      <c r="L85" s="3"/>
      <c r="M85" s="3"/>
      <c r="N85" s="3"/>
      <c r="O85" s="3"/>
    </row>
    <row r="86" spans="1:15" x14ac:dyDescent="0.25">
      <c r="A86" t="s">
        <v>89</v>
      </c>
      <c r="B86" t="s">
        <v>35</v>
      </c>
      <c r="C86" t="s">
        <v>92</v>
      </c>
      <c r="D86" s="3"/>
      <c r="E86" s="3"/>
      <c r="F86">
        <v>3.08</v>
      </c>
      <c r="G86">
        <v>1.6</v>
      </c>
      <c r="H86">
        <v>0.84</v>
      </c>
      <c r="I86">
        <v>0.48</v>
      </c>
      <c r="J86">
        <v>0.26800000000000002</v>
      </c>
      <c r="K86" s="3"/>
      <c r="L86" s="3"/>
      <c r="M86" s="3"/>
      <c r="N86" s="3"/>
      <c r="O86" s="3"/>
    </row>
    <row r="87" spans="1:15" x14ac:dyDescent="0.25">
      <c r="A87" t="s">
        <v>89</v>
      </c>
      <c r="B87" t="s">
        <v>93</v>
      </c>
      <c r="C87" t="s">
        <v>91</v>
      </c>
      <c r="D87" s="3"/>
      <c r="E87" s="3"/>
      <c r="F87">
        <v>3.8</v>
      </c>
      <c r="G87">
        <v>1.96</v>
      </c>
      <c r="H87">
        <v>1.1599999999999999</v>
      </c>
      <c r="I87">
        <v>0.7</v>
      </c>
      <c r="J87">
        <v>0.36799999999999999</v>
      </c>
      <c r="K87" s="3"/>
      <c r="L87" s="3"/>
      <c r="M87" s="3"/>
      <c r="N87" s="3"/>
      <c r="O87" s="3"/>
    </row>
    <row r="88" spans="1:15" x14ac:dyDescent="0.25">
      <c r="A88" t="s">
        <v>89</v>
      </c>
      <c r="B88" t="s">
        <v>93</v>
      </c>
      <c r="C88" t="s">
        <v>92</v>
      </c>
      <c r="D88" s="3"/>
      <c r="E88" s="3"/>
      <c r="F88">
        <v>3.6</v>
      </c>
      <c r="G88">
        <v>1.68</v>
      </c>
      <c r="H88">
        <v>0.92</v>
      </c>
      <c r="I88">
        <v>0.6</v>
      </c>
      <c r="J88">
        <v>0.39600000000000002</v>
      </c>
      <c r="K88" s="3"/>
      <c r="L88" s="3"/>
      <c r="M88" s="3"/>
      <c r="N88" s="3"/>
      <c r="O88" s="3"/>
    </row>
    <row r="89" spans="1:15" x14ac:dyDescent="0.25">
      <c r="A89" t="s">
        <v>89</v>
      </c>
      <c r="B89" t="s">
        <v>95</v>
      </c>
      <c r="C89" t="s">
        <v>91</v>
      </c>
      <c r="D89" s="3"/>
      <c r="E89">
        <v>13.2</v>
      </c>
      <c r="F89">
        <v>8</v>
      </c>
      <c r="G89">
        <v>4.24</v>
      </c>
      <c r="H89">
        <v>2.42</v>
      </c>
      <c r="I89">
        <v>1.38</v>
      </c>
      <c r="J89">
        <v>0.72799999999999998</v>
      </c>
      <c r="K89" s="3"/>
      <c r="L89" s="3"/>
      <c r="M89" s="3"/>
      <c r="N89" s="3"/>
      <c r="O89" s="3"/>
    </row>
    <row r="90" spans="1:15" x14ac:dyDescent="0.25">
      <c r="A90" t="s">
        <v>89</v>
      </c>
      <c r="B90" t="s">
        <v>95</v>
      </c>
      <c r="C90" t="s">
        <v>92</v>
      </c>
      <c r="D90" s="3"/>
      <c r="E90">
        <v>7.2</v>
      </c>
      <c r="F90">
        <v>4.2</v>
      </c>
      <c r="G90">
        <v>2.12</v>
      </c>
      <c r="H90">
        <v>1.64</v>
      </c>
      <c r="I90">
        <v>1.04</v>
      </c>
      <c r="J90">
        <v>0.64</v>
      </c>
      <c r="K90" s="3"/>
      <c r="L90" s="3"/>
      <c r="M90" s="3"/>
      <c r="N90" s="3"/>
      <c r="O90" s="3"/>
    </row>
    <row r="91" spans="1:15" x14ac:dyDescent="0.25">
      <c r="A91" t="s">
        <v>89</v>
      </c>
      <c r="B91" t="s">
        <v>96</v>
      </c>
      <c r="C91" t="s">
        <v>92</v>
      </c>
      <c r="D91" s="3"/>
      <c r="E91">
        <v>11.8</v>
      </c>
      <c r="F91">
        <v>7.9</v>
      </c>
      <c r="G91">
        <v>5.6</v>
      </c>
      <c r="H91">
        <v>3.78</v>
      </c>
      <c r="I91" s="3"/>
      <c r="J91" s="3"/>
      <c r="K91" s="3"/>
      <c r="L91" s="3"/>
      <c r="M91" s="3"/>
      <c r="N91" s="3"/>
      <c r="O91" s="3"/>
    </row>
    <row r="92" spans="1:15" x14ac:dyDescent="0.25">
      <c r="A92" t="s">
        <v>89</v>
      </c>
      <c r="B92" t="s">
        <v>94</v>
      </c>
      <c r="C92" t="s">
        <v>97</v>
      </c>
      <c r="D92" s="3"/>
      <c r="E92">
        <v>18.399999999999999</v>
      </c>
      <c r="F92">
        <v>17.8</v>
      </c>
      <c r="G92">
        <v>8</v>
      </c>
      <c r="H92" s="3"/>
      <c r="I92" s="3"/>
      <c r="J92" s="3"/>
      <c r="K92" s="3"/>
      <c r="L92" s="3"/>
      <c r="M92" s="3"/>
      <c r="N92" s="3"/>
      <c r="O92" s="3"/>
    </row>
    <row r="93" spans="1:15" x14ac:dyDescent="0.25">
      <c r="A93" t="s">
        <v>99</v>
      </c>
      <c r="B93" t="s">
        <v>98</v>
      </c>
      <c r="C93" t="s">
        <v>8</v>
      </c>
      <c r="D93" s="3"/>
      <c r="E93" s="3"/>
      <c r="F93" s="3"/>
      <c r="G93" s="3"/>
      <c r="H93" s="3"/>
      <c r="I93">
        <v>0.45</v>
      </c>
      <c r="J93">
        <v>0.24</v>
      </c>
      <c r="K93">
        <v>0.16</v>
      </c>
      <c r="L93">
        <v>0.12</v>
      </c>
      <c r="M93" s="3"/>
      <c r="N93" s="3"/>
      <c r="O93" s="3"/>
    </row>
    <row r="94" spans="1:15" x14ac:dyDescent="0.25">
      <c r="A94" t="s">
        <v>100</v>
      </c>
      <c r="B94" t="s">
        <v>101</v>
      </c>
      <c r="C94" t="s">
        <v>8</v>
      </c>
      <c r="D94" s="3"/>
      <c r="E94" s="3"/>
      <c r="F94" s="3"/>
      <c r="G94" s="3"/>
      <c r="H94" s="3"/>
      <c r="I94" s="3"/>
      <c r="J94">
        <v>0.18</v>
      </c>
      <c r="K94">
        <v>0.12</v>
      </c>
      <c r="L94">
        <v>8.5000000000000006E-2</v>
      </c>
      <c r="M94">
        <v>7.0000000000000007E-2</v>
      </c>
      <c r="N94">
        <v>4.2999999999999997E-2</v>
      </c>
      <c r="O94" s="3"/>
    </row>
    <row r="95" spans="1:15" x14ac:dyDescent="0.25">
      <c r="A95" t="s">
        <v>100</v>
      </c>
      <c r="B95" t="s">
        <v>101</v>
      </c>
      <c r="C95" t="s">
        <v>59</v>
      </c>
      <c r="D95" s="3"/>
      <c r="E95" s="3"/>
      <c r="F95" s="3"/>
      <c r="G95" s="3"/>
      <c r="H95" s="3"/>
      <c r="I95" s="3"/>
      <c r="J95">
        <v>0.26</v>
      </c>
      <c r="K95">
        <v>0.15</v>
      </c>
      <c r="L95">
        <v>0.115</v>
      </c>
      <c r="M95">
        <v>9.8000000000000004E-2</v>
      </c>
      <c r="N95">
        <v>0.06</v>
      </c>
      <c r="O95" s="3"/>
    </row>
    <row r="96" spans="1:15" x14ac:dyDescent="0.25">
      <c r="A96" t="s">
        <v>102</v>
      </c>
      <c r="B96" t="s">
        <v>103</v>
      </c>
      <c r="C96" t="s">
        <v>8</v>
      </c>
      <c r="D96" s="3"/>
      <c r="E96" s="3"/>
      <c r="F96" s="3"/>
      <c r="G96" s="3"/>
      <c r="H96" s="3"/>
      <c r="I96">
        <v>0.7</v>
      </c>
      <c r="J96">
        <v>0.36</v>
      </c>
      <c r="K96">
        <v>0.26</v>
      </c>
      <c r="L96">
        <v>0.21</v>
      </c>
      <c r="M96" s="3"/>
      <c r="N96" s="3"/>
      <c r="O96" s="3"/>
    </row>
    <row r="97" spans="1:15" x14ac:dyDescent="0.25">
      <c r="A97" t="s">
        <v>104</v>
      </c>
      <c r="B97" t="s">
        <v>105</v>
      </c>
      <c r="C97" t="s">
        <v>59</v>
      </c>
      <c r="D97" s="3"/>
      <c r="E97" s="3"/>
      <c r="F97" s="3"/>
      <c r="M97" s="3"/>
      <c r="N97" s="3"/>
      <c r="O97" s="3"/>
    </row>
    <row r="98" spans="1:15" x14ac:dyDescent="0.25">
      <c r="A98" t="s">
        <v>104</v>
      </c>
      <c r="B98" t="s">
        <v>106</v>
      </c>
      <c r="C98" t="s">
        <v>59</v>
      </c>
      <c r="D98" s="3"/>
      <c r="E98" s="3"/>
      <c r="F98" s="3"/>
      <c r="M98" s="3"/>
      <c r="N98" s="3"/>
      <c r="O98" s="3"/>
    </row>
    <row r="99" spans="1:15" x14ac:dyDescent="0.25">
      <c r="A99" t="s">
        <v>104</v>
      </c>
      <c r="B99" t="s">
        <v>107</v>
      </c>
      <c r="C99" t="s">
        <v>59</v>
      </c>
      <c r="D99" s="3"/>
      <c r="E99" s="3"/>
      <c r="F99" s="3"/>
      <c r="M99" s="3"/>
      <c r="N99" s="3"/>
      <c r="O99" s="3"/>
    </row>
    <row r="100" spans="1:15" ht="23.25" customHeight="1" x14ac:dyDescent="0.25"/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Brice GENY</dc:creator>
  <cp:lastModifiedBy>Brice GENY</cp:lastModifiedBy>
  <dcterms:created xsi:type="dcterms:W3CDTF">2026-09-24T16:27:31Z</dcterms:created>
  <dcterms:modified xsi:type="dcterms:W3CDTF">2026-10-23T20:18:09Z</dcterms:modified>
</cp:coreProperties>
</file>