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up\OneDrive\OneDrive - IRIS - AB Com\Bureau\Catalogue tarifs\Fichiers calcul tarif\"/>
    </mc:Choice>
  </mc:AlternateContent>
  <xr:revisionPtr revIDLastSave="0" documentId="8_{C45DCD77-92E5-4B20-99D8-BBA5404D2B60}" xr6:coauthVersionLast="47" xr6:coauthVersionMax="47" xr10:uidLastSave="{00000000-0000-0000-0000-000000000000}"/>
  <bookViews>
    <workbookView xWindow="-28920" yWindow="450" windowWidth="29040" windowHeight="15720" xr2:uid="{2397EE33-00DA-4C92-B005-90846F4A0E6F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G16" i="1"/>
  <c r="H16" i="1"/>
  <c r="I16" i="1"/>
  <c r="J16" i="1"/>
  <c r="K16" i="1"/>
  <c r="L16" i="1"/>
  <c r="M16" i="1"/>
  <c r="N16" i="1"/>
  <c r="O16" i="1"/>
  <c r="P16" i="1"/>
  <c r="Q16" i="1"/>
  <c r="E16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E9" i="1"/>
  <c r="E15" i="1"/>
  <c r="F9" i="1"/>
  <c r="F15" i="1"/>
  <c r="G9" i="1"/>
  <c r="G15" i="1"/>
  <c r="H9" i="1"/>
  <c r="H15" i="1"/>
  <c r="I9" i="1"/>
  <c r="I15" i="1"/>
  <c r="J9" i="1"/>
  <c r="J15" i="1"/>
  <c r="K9" i="1"/>
  <c r="K15" i="1"/>
  <c r="L9" i="1"/>
  <c r="L15" i="1"/>
  <c r="M9" i="1"/>
  <c r="M15" i="1"/>
  <c r="N9" i="1"/>
  <c r="N15" i="1"/>
  <c r="O9" i="1"/>
  <c r="O15" i="1"/>
  <c r="P9" i="1"/>
  <c r="P15" i="1"/>
  <c r="Q9" i="1"/>
  <c r="Q15" i="1"/>
  <c r="F10" i="1"/>
  <c r="G10" i="1"/>
  <c r="H10" i="1"/>
  <c r="I10" i="1"/>
  <c r="J10" i="1"/>
  <c r="K10" i="1"/>
  <c r="L10" i="1"/>
  <c r="M10" i="1"/>
  <c r="N10" i="1"/>
  <c r="O10" i="1"/>
  <c r="P10" i="1"/>
  <c r="Q10" i="1"/>
  <c r="E10" i="1"/>
</calcChain>
</file>

<file path=xl/sharedStrings.xml><?xml version="1.0" encoding="utf-8"?>
<sst xmlns="http://schemas.openxmlformats.org/spreadsheetml/2006/main" count="241" uniqueCount="128">
  <si>
    <t>REF POSITION</t>
  </si>
  <si>
    <t>REF MARQUAGE</t>
  </si>
  <si>
    <t>C</t>
  </si>
  <si>
    <t>TNT</t>
  </si>
  <si>
    <t>CTNT</t>
  </si>
  <si>
    <t>OP</t>
  </si>
  <si>
    <t>OPTNT</t>
  </si>
  <si>
    <t>IMPRESSION TEXTILE LEGER  QUADRI TEXTILE SUR OPPOSÉ CŒUR MAXI 9x8 CM</t>
  </si>
  <si>
    <t>D10</t>
  </si>
  <si>
    <t>D10TNT</t>
  </si>
  <si>
    <t>D20</t>
  </si>
  <si>
    <t>D20TNT</t>
  </si>
  <si>
    <t>MD</t>
  </si>
  <si>
    <t>MDTNT</t>
  </si>
  <si>
    <t>MG</t>
  </si>
  <si>
    <t>LR</t>
  </si>
  <si>
    <t>P</t>
  </si>
  <si>
    <t>TNV</t>
  </si>
  <si>
    <t>CT</t>
  </si>
  <si>
    <t>TN</t>
  </si>
  <si>
    <t>CTTN</t>
  </si>
  <si>
    <t>IMPRESSION QUADRI SUR CASQUETTE MAXI 9x6 CM</t>
  </si>
  <si>
    <t>I</t>
  </si>
  <si>
    <t>ITN</t>
  </si>
  <si>
    <t>IMPRESSION QUADRI SUR PARAPLUIE MAXI 9x8 CM</t>
  </si>
  <si>
    <t>B</t>
  </si>
  <si>
    <t>BTN</t>
  </si>
  <si>
    <t>IMPRESSION QUADRI SUR BAGAGERIE MAXI 20x15 CM</t>
  </si>
  <si>
    <t>PA</t>
  </si>
  <si>
    <t>PATN</t>
  </si>
  <si>
    <t>IMPRESSION QUADRI SUR PANTALON POCHE MAXI 9x8 CM</t>
  </si>
  <si>
    <t>IMPRESSION TEXTILE LEGER QUADRI TEXTILE SUR CŒUR MAXI 13x9 CM</t>
  </si>
  <si>
    <t>IMPRESSION TEXTILE LEGER  QUADRI MAXI 20x13 CM</t>
  </si>
  <si>
    <t>IMPRESSION TEXTILE LEGER  QUADRI MAXI 28x20 CM</t>
  </si>
  <si>
    <t>IMPRESSION TEXTILE LEGER  QUADRI MAXI 37x27 CM</t>
  </si>
  <si>
    <t>IMPRESSION TEXTILE LEGER  QUADRI SUR MANCHE MAXI 9x8 CM</t>
  </si>
  <si>
    <t>D30TNT</t>
  </si>
  <si>
    <t>de 1 à 5</t>
  </si>
  <si>
    <t>de 6 à 9</t>
  </si>
  <si>
    <t>de 10 à 19</t>
  </si>
  <si>
    <t>de 20 à 29</t>
  </si>
  <si>
    <t>de 30 à 39</t>
  </si>
  <si>
    <t>de 40 à 49</t>
  </si>
  <si>
    <t>de 50 à 99</t>
  </si>
  <si>
    <t>de 100 à 249</t>
  </si>
  <si>
    <t>de 250 à 499</t>
  </si>
  <si>
    <t>de 500 à 999</t>
  </si>
  <si>
    <t>de 1000 à 1999</t>
  </si>
  <si>
    <t>de 2000 à 4999</t>
  </si>
  <si>
    <t>5000 et plus</t>
  </si>
  <si>
    <t>sur devis</t>
  </si>
  <si>
    <t>Ref</t>
  </si>
  <si>
    <t>DESIGNATION</t>
  </si>
  <si>
    <t>BDH</t>
  </si>
  <si>
    <t>CBDH</t>
  </si>
  <si>
    <t>D10BDH</t>
  </si>
  <si>
    <t>D20BDH</t>
  </si>
  <si>
    <t>LRBDH</t>
  </si>
  <si>
    <t>CTBDH</t>
  </si>
  <si>
    <t>BRODERIE CASQUETTE BONNET MAXI 9x5,5 CM</t>
  </si>
  <si>
    <t>MDBDH</t>
  </si>
  <si>
    <t>PABDH</t>
  </si>
  <si>
    <t>BRODERIE PANTALON POCHE MAXI 8x7 CM</t>
  </si>
  <si>
    <t>BDH3D</t>
  </si>
  <si>
    <t>SUPPLEMENT BRODERIE 3D FORMAT MAXI 80 CM²</t>
  </si>
  <si>
    <t>BDHBC</t>
  </si>
  <si>
    <t>SUPPLEMENT BRODERIE BOUCLETTE SUR TOUS FORMATS</t>
  </si>
  <si>
    <t>BDHDP</t>
  </si>
  <si>
    <t>DEPOSE + POSE POCHE BRODERIE</t>
  </si>
  <si>
    <t>FTB1</t>
  </si>
  <si>
    <t>FRAIS CREATION DESSIN FICHIER DE BRODERIE</t>
  </si>
  <si>
    <t>FTB4</t>
  </si>
  <si>
    <t>FTB12</t>
  </si>
  <si>
    <t>BRODERIE SUR MANCHE EPAULE MAXI 8x5 CM</t>
  </si>
  <si>
    <t>BRODERIE COL MAXI 7 x 2 CM ou signature max 6*3cm</t>
  </si>
  <si>
    <t>BRODERIE MAXI 25x10 CM (dos ou bagagerie)</t>
  </si>
  <si>
    <t>BRODERIE MAXI 25x20 CM (dos, poitrine ou bagagerie)</t>
  </si>
  <si>
    <t>BRODERIE position auchoix MAXI 9x8 CM</t>
  </si>
  <si>
    <t>de 1 à 3</t>
  </si>
  <si>
    <t>de 4 à 11</t>
  </si>
  <si>
    <t>de 12 à 23</t>
  </si>
  <si>
    <t>de 24 à 47</t>
  </si>
  <si>
    <t>de 48 à 95</t>
  </si>
  <si>
    <t>de 96 à 251</t>
  </si>
  <si>
    <t>de 252 à 503</t>
  </si>
  <si>
    <t>de 504 à 1007</t>
  </si>
  <si>
    <t>de 1008 à 1511</t>
  </si>
  <si>
    <t>de 1512 à 2015</t>
  </si>
  <si>
    <t>2016 et +</t>
  </si>
  <si>
    <t>MSITP</t>
  </si>
  <si>
    <t>MISE SOUS SACHET INDIVIDUEL FORMAT T SHIRT POLO</t>
  </si>
  <si>
    <t>MSISJ</t>
  </si>
  <si>
    <t>MISE SOUS SACHET INDIVIDUEL FORMAT SWEAT VESTE</t>
  </si>
  <si>
    <t>PET</t>
  </si>
  <si>
    <t>POSE ETIQUETTE QUADRI SUR SACHET</t>
  </si>
  <si>
    <t>MSP</t>
  </si>
  <si>
    <t>MISE SOUS PAQUETAGE AVEC PERSONNALISATION</t>
  </si>
  <si>
    <t>MHC</t>
  </si>
  <si>
    <t>OPTION ASSURANCE REMBOURSEMENT SUPPORT FOURNI VOIR CGV</t>
  </si>
  <si>
    <t>RUSH</t>
  </si>
  <si>
    <t>FORFAIT SUPPLEMENT COMMANDE SOUS 8 JOURS OUVRES</t>
  </si>
  <si>
    <t>MES</t>
  </si>
  <si>
    <t>MISE EN STOCKAGE SUR 12 MOIS AVEC GESTION PICKING</t>
  </si>
  <si>
    <t>PROTO</t>
  </si>
  <si>
    <t>SUPPLEMENT REALISATION PROTOTYPE</t>
  </si>
  <si>
    <t>FDC</t>
  </si>
  <si>
    <t>FRAIS TECHNIQUE PAR COMMANDE</t>
  </si>
  <si>
    <t>FRD</t>
  </si>
  <si>
    <t>FRAIS DE RETIRAGE POUR TOUS REASSORT MAXI 6 MOIS</t>
  </si>
  <si>
    <t>FCC</t>
  </si>
  <si>
    <t>CHANGEMENT DE COULEUR EN COURS DE SERIE</t>
  </si>
  <si>
    <t>PAP</t>
  </si>
  <si>
    <t>PHOTO AVANT PROD</t>
  </si>
  <si>
    <t>de 1 à 11</t>
  </si>
  <si>
    <t>de 12 à 24</t>
  </si>
  <si>
    <t>de 25 à 49</t>
  </si>
  <si>
    <t>2000 et +</t>
  </si>
  <si>
    <t>-</t>
  </si>
  <si>
    <t>PERN</t>
  </si>
  <si>
    <t>CPERN</t>
  </si>
  <si>
    <t>SUPPLEMENT POUR PERSONALISATION SUR CŒUR</t>
  </si>
  <si>
    <t>D</t>
  </si>
  <si>
    <t>DPERN</t>
  </si>
  <si>
    <t>SUPPLEMENT PERSONNALISATION NOM NUMERO SUR DOS</t>
  </si>
  <si>
    <t>Broderie</t>
  </si>
  <si>
    <t>Prestations</t>
  </si>
  <si>
    <t>Divers</t>
  </si>
  <si>
    <t>Marquage DTF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</si>
</sst>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64" fontId="0" fillId="0" borderId="3" xfId="0" applyNumberFormat="1" applyBorder="1" applyAlignment="1">
      <alignment horizontal="right"/>
    </xf>
    <xf numFmtId="164" fontId="0" fillId="2" borderId="2" xfId="0" applyNumberFormat="1" applyFill="1" applyBorder="1"/>
    <xf numFmtId="164" fontId="0" fillId="5" borderId="2" xfId="0" applyNumberFormat="1" applyFill="1" applyBorder="1"/>
    <xf numFmtId="164" fontId="0" fillId="4" borderId="2" xfId="0" applyNumberFormat="1" applyFill="1" applyBorder="1"/>
    <xf numFmtId="164" fontId="0" fillId="4" borderId="2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0" fontId="1" fillId="0" borderId="0" xfId="0" applyFont="1"/>
    <xf numFmtId="0" fontId="1" fillId="0" borderId="0" xfId="0" applyFont="1" applyBorder="1"/>
    <xf numFmtId="0" fontId="0" fillId="0" borderId="2" xfId="0" applyFill="1" applyBorder="1" applyAlignment="1">
      <alignment horizontal="right"/>
    </xf>
    <xf numFmtId="0" fontId="0" fillId="6" borderId="3" xfId="0" applyFill="1" applyBorder="1" applyAlignment="1">
      <alignment horizontal="left"/>
    </xf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25D-9368-4B8A-93FB-FA4AA9556AE4}">
  <dimension ref="A1:W64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14.5703125" customWidth="1"/>
    <col min="3" max="3" width="10.85546875" customWidth="1"/>
    <col min="4" max="4" width="69.5703125" bestFit="1" customWidth="1"/>
    <col min="13" max="13" width="14.140625" customWidth="1"/>
    <col min="14" max="14" width="11.42578125" customWidth="1"/>
    <col min="15" max="15" width="13.140625" customWidth="1"/>
    <col min="16" max="16" width="13.5703125" customWidth="1"/>
  </cols>
  <sheetData>
    <row r="1" spans="1:17" x14ac:dyDescent="0.25">
      <c r="A1" s="27" t="s">
        <v>127</v>
      </c>
    </row>
    <row r="2" spans="1:17" x14ac:dyDescent="0.25">
      <c r="A2" s="1" t="s">
        <v>0</v>
      </c>
      <c r="B2" s="1" t="s">
        <v>1</v>
      </c>
      <c r="C2" s="1" t="s">
        <v>51</v>
      </c>
      <c r="D2" s="1" t="s">
        <v>52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3" t="s">
        <v>2</v>
      </c>
      <c r="B4" s="3" t="s">
        <v>3</v>
      </c>
      <c r="C4" s="3" t="s">
        <v>4</v>
      </c>
      <c r="D4" s="3" t="s">
        <v>31</v>
      </c>
      <c r="E4" s="12">
        <v>6</v>
      </c>
      <c r="F4" s="12">
        <v>4.5</v>
      </c>
      <c r="G4" s="12">
        <v>3.6</v>
      </c>
      <c r="H4" s="12">
        <v>2.81</v>
      </c>
      <c r="I4" s="12">
        <v>2.5</v>
      </c>
      <c r="J4" s="12">
        <v>2.4</v>
      </c>
      <c r="K4" s="12">
        <v>2</v>
      </c>
      <c r="L4" s="12">
        <v>1.8</v>
      </c>
      <c r="M4" s="12">
        <v>1.6</v>
      </c>
      <c r="N4" s="12">
        <v>1.4</v>
      </c>
      <c r="O4" s="12">
        <v>1.2</v>
      </c>
      <c r="P4" s="12">
        <v>1</v>
      </c>
      <c r="Q4" s="12">
        <v>0.7</v>
      </c>
    </row>
    <row r="5" spans="1:17" x14ac:dyDescent="0.25">
      <c r="A5" s="3" t="s">
        <v>5</v>
      </c>
      <c r="B5" s="3" t="s">
        <v>3</v>
      </c>
      <c r="C5" s="3" t="s">
        <v>6</v>
      </c>
      <c r="D5" s="3" t="s">
        <v>7</v>
      </c>
      <c r="E5" s="12">
        <v>6</v>
      </c>
      <c r="F5" s="12">
        <v>4.5</v>
      </c>
      <c r="G5" s="12">
        <v>3.6</v>
      </c>
      <c r="H5" s="12">
        <v>2.81</v>
      </c>
      <c r="I5" s="12">
        <v>2.5</v>
      </c>
      <c r="J5" s="12">
        <v>2.4</v>
      </c>
      <c r="K5" s="12">
        <v>2</v>
      </c>
      <c r="L5" s="12">
        <v>1.8</v>
      </c>
      <c r="M5" s="12">
        <v>1.6</v>
      </c>
      <c r="N5" s="12">
        <v>1.4</v>
      </c>
      <c r="O5" s="12">
        <v>1.2</v>
      </c>
      <c r="P5" s="12">
        <v>1</v>
      </c>
      <c r="Q5" s="12">
        <v>0.7</v>
      </c>
    </row>
    <row r="6" spans="1:17" x14ac:dyDescent="0.25">
      <c r="A6" s="3" t="s">
        <v>8</v>
      </c>
      <c r="B6" s="3" t="s">
        <v>3</v>
      </c>
      <c r="C6" s="3" t="s">
        <v>9</v>
      </c>
      <c r="D6" s="3" t="s">
        <v>32</v>
      </c>
      <c r="E6" s="12">
        <v>7.92</v>
      </c>
      <c r="F6" s="12">
        <v>6.5</v>
      </c>
      <c r="G6" s="12">
        <v>5.5</v>
      </c>
      <c r="H6" s="12">
        <v>5</v>
      </c>
      <c r="I6" s="12">
        <v>4.2</v>
      </c>
      <c r="J6" s="12">
        <v>4</v>
      </c>
      <c r="K6" s="12">
        <v>3.5</v>
      </c>
      <c r="L6" s="12">
        <v>3</v>
      </c>
      <c r="M6" s="12">
        <v>2.7</v>
      </c>
      <c r="N6" s="12">
        <v>2.5</v>
      </c>
      <c r="O6" s="12">
        <v>2</v>
      </c>
      <c r="P6" s="12">
        <v>1.6</v>
      </c>
      <c r="Q6" s="12">
        <v>1</v>
      </c>
    </row>
    <row r="7" spans="1:17" x14ac:dyDescent="0.25">
      <c r="A7" s="3" t="s">
        <v>10</v>
      </c>
      <c r="B7" s="3" t="s">
        <v>3</v>
      </c>
      <c r="C7" s="3" t="s">
        <v>11</v>
      </c>
      <c r="D7" s="3" t="s">
        <v>33</v>
      </c>
      <c r="E7" s="12">
        <v>13.67</v>
      </c>
      <c r="F7" s="12">
        <v>10</v>
      </c>
      <c r="G7" s="12">
        <v>9</v>
      </c>
      <c r="H7" s="12">
        <v>6.9</v>
      </c>
      <c r="I7" s="12">
        <v>6.3</v>
      </c>
      <c r="J7" s="12">
        <v>6</v>
      </c>
      <c r="K7" s="12">
        <v>5.5</v>
      </c>
      <c r="L7" s="12">
        <v>4.5999999999999996</v>
      </c>
      <c r="M7" s="12">
        <v>4</v>
      </c>
      <c r="N7" s="12">
        <v>3.5</v>
      </c>
      <c r="O7" s="12">
        <v>2.5</v>
      </c>
      <c r="P7" s="12">
        <v>2</v>
      </c>
      <c r="Q7" s="12">
        <v>1.5</v>
      </c>
    </row>
    <row r="8" spans="1:17" x14ac:dyDescent="0.25">
      <c r="A8" s="3" t="s">
        <v>16</v>
      </c>
      <c r="B8" s="3" t="s">
        <v>3</v>
      </c>
      <c r="C8" s="3" t="s">
        <v>36</v>
      </c>
      <c r="D8" s="3" t="s">
        <v>34</v>
      </c>
      <c r="E8" s="12">
        <v>17</v>
      </c>
      <c r="F8" s="12">
        <v>13</v>
      </c>
      <c r="G8" s="12">
        <v>12</v>
      </c>
      <c r="H8" s="12">
        <v>10</v>
      </c>
      <c r="I8" s="12">
        <v>9</v>
      </c>
      <c r="J8" s="12">
        <v>8</v>
      </c>
      <c r="K8" s="12">
        <v>7.5</v>
      </c>
      <c r="L8" s="12">
        <v>6.5</v>
      </c>
      <c r="M8" s="12">
        <v>6</v>
      </c>
      <c r="N8" s="12">
        <v>5</v>
      </c>
      <c r="O8" s="12">
        <v>4</v>
      </c>
      <c r="P8" s="12">
        <v>3.5</v>
      </c>
      <c r="Q8" s="12">
        <v>2.5</v>
      </c>
    </row>
    <row r="9" spans="1:17" x14ac:dyDescent="0.25">
      <c r="A9" s="3" t="s">
        <v>12</v>
      </c>
      <c r="B9" s="3" t="s">
        <v>3</v>
      </c>
      <c r="C9" s="3" t="s">
        <v>13</v>
      </c>
      <c r="D9" s="3" t="s">
        <v>35</v>
      </c>
      <c r="E9" s="12">
        <f>E4+E4*20%</f>
        <v>7.2</v>
      </c>
      <c r="F9" s="12">
        <f t="shared" ref="F9:Q9" si="0">F4+F4*20%</f>
        <v>5.4</v>
      </c>
      <c r="G9" s="12">
        <f t="shared" si="0"/>
        <v>4.32</v>
      </c>
      <c r="H9" s="12">
        <f t="shared" si="0"/>
        <v>3.3719999999999999</v>
      </c>
      <c r="I9" s="12">
        <f t="shared" si="0"/>
        <v>3</v>
      </c>
      <c r="J9" s="12">
        <f t="shared" si="0"/>
        <v>2.88</v>
      </c>
      <c r="K9" s="12">
        <f t="shared" si="0"/>
        <v>2.4</v>
      </c>
      <c r="L9" s="12">
        <f t="shared" si="0"/>
        <v>2.16</v>
      </c>
      <c r="M9" s="12">
        <f t="shared" si="0"/>
        <v>1.9200000000000002</v>
      </c>
      <c r="N9" s="12">
        <f t="shared" si="0"/>
        <v>1.68</v>
      </c>
      <c r="O9" s="12">
        <f t="shared" si="0"/>
        <v>1.44</v>
      </c>
      <c r="P9" s="12">
        <f t="shared" si="0"/>
        <v>1.2</v>
      </c>
      <c r="Q9" s="12">
        <f t="shared" si="0"/>
        <v>0.84</v>
      </c>
    </row>
    <row r="10" spans="1:17" x14ac:dyDescent="0.25">
      <c r="A10" s="4" t="s">
        <v>2</v>
      </c>
      <c r="B10" s="4" t="s">
        <v>17</v>
      </c>
      <c r="C10" s="6" t="s">
        <v>4</v>
      </c>
      <c r="D10" s="6" t="s">
        <v>31</v>
      </c>
      <c r="E10" s="13">
        <f>E4+ E4*10%</f>
        <v>6.6</v>
      </c>
      <c r="F10" s="13">
        <f t="shared" ref="F10:Q10" si="1">F4+ F4*10%</f>
        <v>4.95</v>
      </c>
      <c r="G10" s="13">
        <f t="shared" si="1"/>
        <v>3.96</v>
      </c>
      <c r="H10" s="13">
        <f t="shared" si="1"/>
        <v>3.0910000000000002</v>
      </c>
      <c r="I10" s="13">
        <f t="shared" si="1"/>
        <v>2.75</v>
      </c>
      <c r="J10" s="13">
        <f t="shared" si="1"/>
        <v>2.6399999999999997</v>
      </c>
      <c r="K10" s="13">
        <f t="shared" si="1"/>
        <v>2.2000000000000002</v>
      </c>
      <c r="L10" s="13">
        <f t="shared" si="1"/>
        <v>1.98</v>
      </c>
      <c r="M10" s="13">
        <f t="shared" si="1"/>
        <v>1.7600000000000002</v>
      </c>
      <c r="N10" s="13">
        <f t="shared" si="1"/>
        <v>1.5399999999999998</v>
      </c>
      <c r="O10" s="13">
        <f t="shared" si="1"/>
        <v>1.3199999999999998</v>
      </c>
      <c r="P10" s="13">
        <f t="shared" si="1"/>
        <v>1.1000000000000001</v>
      </c>
      <c r="Q10" s="13">
        <f t="shared" si="1"/>
        <v>0.76999999999999991</v>
      </c>
    </row>
    <row r="11" spans="1:17" x14ac:dyDescent="0.25">
      <c r="A11" s="4" t="s">
        <v>5</v>
      </c>
      <c r="B11" s="4" t="s">
        <v>17</v>
      </c>
      <c r="C11" s="6" t="s">
        <v>6</v>
      </c>
      <c r="D11" s="6" t="s">
        <v>7</v>
      </c>
      <c r="E11" s="13">
        <f t="shared" ref="E11:Q11" si="2">E5+ E5*10%</f>
        <v>6.6</v>
      </c>
      <c r="F11" s="13">
        <f t="shared" si="2"/>
        <v>4.95</v>
      </c>
      <c r="G11" s="13">
        <f t="shared" si="2"/>
        <v>3.96</v>
      </c>
      <c r="H11" s="13">
        <f t="shared" si="2"/>
        <v>3.0910000000000002</v>
      </c>
      <c r="I11" s="13">
        <f t="shared" si="2"/>
        <v>2.75</v>
      </c>
      <c r="J11" s="13">
        <f t="shared" si="2"/>
        <v>2.6399999999999997</v>
      </c>
      <c r="K11" s="13">
        <f t="shared" si="2"/>
        <v>2.2000000000000002</v>
      </c>
      <c r="L11" s="13">
        <f t="shared" si="2"/>
        <v>1.98</v>
      </c>
      <c r="M11" s="13">
        <f t="shared" si="2"/>
        <v>1.7600000000000002</v>
      </c>
      <c r="N11" s="13">
        <f t="shared" si="2"/>
        <v>1.5399999999999998</v>
      </c>
      <c r="O11" s="13">
        <f t="shared" si="2"/>
        <v>1.3199999999999998</v>
      </c>
      <c r="P11" s="13">
        <f t="shared" si="2"/>
        <v>1.1000000000000001</v>
      </c>
      <c r="Q11" s="13">
        <f t="shared" si="2"/>
        <v>0.76999999999999991</v>
      </c>
    </row>
    <row r="12" spans="1:17" x14ac:dyDescent="0.25">
      <c r="A12" s="4" t="s">
        <v>8</v>
      </c>
      <c r="B12" s="4" t="s">
        <v>17</v>
      </c>
      <c r="C12" s="6" t="s">
        <v>9</v>
      </c>
      <c r="D12" s="6" t="s">
        <v>32</v>
      </c>
      <c r="E12" s="13">
        <f t="shared" ref="E12:Q12" si="3">E6+ E6*10%</f>
        <v>8.7119999999999997</v>
      </c>
      <c r="F12" s="13">
        <f t="shared" si="3"/>
        <v>7.15</v>
      </c>
      <c r="G12" s="13">
        <f t="shared" si="3"/>
        <v>6.05</v>
      </c>
      <c r="H12" s="13">
        <f t="shared" si="3"/>
        <v>5.5</v>
      </c>
      <c r="I12" s="13">
        <f t="shared" si="3"/>
        <v>4.62</v>
      </c>
      <c r="J12" s="13">
        <f t="shared" si="3"/>
        <v>4.4000000000000004</v>
      </c>
      <c r="K12" s="13">
        <f t="shared" si="3"/>
        <v>3.85</v>
      </c>
      <c r="L12" s="13">
        <f t="shared" si="3"/>
        <v>3.3</v>
      </c>
      <c r="M12" s="13">
        <f t="shared" si="3"/>
        <v>2.97</v>
      </c>
      <c r="N12" s="13">
        <f t="shared" si="3"/>
        <v>2.75</v>
      </c>
      <c r="O12" s="13">
        <f t="shared" si="3"/>
        <v>2.2000000000000002</v>
      </c>
      <c r="P12" s="13">
        <f t="shared" si="3"/>
        <v>1.7600000000000002</v>
      </c>
      <c r="Q12" s="13">
        <f t="shared" si="3"/>
        <v>1.1000000000000001</v>
      </c>
    </row>
    <row r="13" spans="1:17" x14ac:dyDescent="0.25">
      <c r="A13" s="4" t="s">
        <v>10</v>
      </c>
      <c r="B13" s="4" t="s">
        <v>17</v>
      </c>
      <c r="C13" s="6" t="s">
        <v>11</v>
      </c>
      <c r="D13" s="6" t="s">
        <v>33</v>
      </c>
      <c r="E13" s="13">
        <f t="shared" ref="E13:Q13" si="4">E7+ E7*10%</f>
        <v>15.036999999999999</v>
      </c>
      <c r="F13" s="13">
        <f t="shared" si="4"/>
        <v>11</v>
      </c>
      <c r="G13" s="13">
        <f t="shared" si="4"/>
        <v>9.9</v>
      </c>
      <c r="H13" s="13">
        <f t="shared" si="4"/>
        <v>7.5900000000000007</v>
      </c>
      <c r="I13" s="13">
        <f t="shared" si="4"/>
        <v>6.93</v>
      </c>
      <c r="J13" s="13">
        <f t="shared" si="4"/>
        <v>6.6</v>
      </c>
      <c r="K13" s="13">
        <f t="shared" si="4"/>
        <v>6.05</v>
      </c>
      <c r="L13" s="13">
        <f t="shared" si="4"/>
        <v>5.0599999999999996</v>
      </c>
      <c r="M13" s="13">
        <f t="shared" si="4"/>
        <v>4.4000000000000004</v>
      </c>
      <c r="N13" s="13">
        <f t="shared" si="4"/>
        <v>3.85</v>
      </c>
      <c r="O13" s="13">
        <f t="shared" si="4"/>
        <v>2.75</v>
      </c>
      <c r="P13" s="13">
        <f t="shared" si="4"/>
        <v>2.2000000000000002</v>
      </c>
      <c r="Q13" s="13">
        <f t="shared" si="4"/>
        <v>1.65</v>
      </c>
    </row>
    <row r="14" spans="1:17" x14ac:dyDescent="0.25">
      <c r="A14" s="4" t="s">
        <v>12</v>
      </c>
      <c r="B14" s="4" t="s">
        <v>17</v>
      </c>
      <c r="C14" s="6" t="s">
        <v>36</v>
      </c>
      <c r="D14" s="6" t="s">
        <v>34</v>
      </c>
      <c r="E14" s="13">
        <f t="shared" ref="E14:Q14" si="5">E8+ E8*10%</f>
        <v>18.7</v>
      </c>
      <c r="F14" s="13">
        <f t="shared" si="5"/>
        <v>14.3</v>
      </c>
      <c r="G14" s="13">
        <f t="shared" si="5"/>
        <v>13.2</v>
      </c>
      <c r="H14" s="13">
        <f t="shared" si="5"/>
        <v>11</v>
      </c>
      <c r="I14" s="13">
        <f t="shared" si="5"/>
        <v>9.9</v>
      </c>
      <c r="J14" s="13">
        <f t="shared" si="5"/>
        <v>8.8000000000000007</v>
      </c>
      <c r="K14" s="13">
        <f t="shared" si="5"/>
        <v>8.25</v>
      </c>
      <c r="L14" s="13">
        <f t="shared" si="5"/>
        <v>7.15</v>
      </c>
      <c r="M14" s="13">
        <f t="shared" si="5"/>
        <v>6.6</v>
      </c>
      <c r="N14" s="13">
        <f t="shared" si="5"/>
        <v>5.5</v>
      </c>
      <c r="O14" s="13">
        <f t="shared" si="5"/>
        <v>4.4000000000000004</v>
      </c>
      <c r="P14" s="13">
        <f t="shared" si="5"/>
        <v>3.85</v>
      </c>
      <c r="Q14" s="13">
        <f t="shared" si="5"/>
        <v>2.75</v>
      </c>
    </row>
    <row r="15" spans="1:17" x14ac:dyDescent="0.25">
      <c r="A15" s="4" t="s">
        <v>14</v>
      </c>
      <c r="B15" s="4" t="s">
        <v>17</v>
      </c>
      <c r="C15" s="6" t="s">
        <v>13</v>
      </c>
      <c r="D15" s="6" t="s">
        <v>35</v>
      </c>
      <c r="E15" s="13">
        <f t="shared" ref="E15:Q15" si="6">E9+ E9*10%</f>
        <v>7.92</v>
      </c>
      <c r="F15" s="13">
        <f t="shared" si="6"/>
        <v>5.94</v>
      </c>
      <c r="G15" s="13">
        <f t="shared" si="6"/>
        <v>4.7520000000000007</v>
      </c>
      <c r="H15" s="13">
        <f t="shared" si="6"/>
        <v>3.7092000000000001</v>
      </c>
      <c r="I15" s="13">
        <f t="shared" si="6"/>
        <v>3.3</v>
      </c>
      <c r="J15" s="13">
        <f t="shared" si="6"/>
        <v>3.1679999999999997</v>
      </c>
      <c r="K15" s="13">
        <f t="shared" si="6"/>
        <v>2.6399999999999997</v>
      </c>
      <c r="L15" s="13">
        <f t="shared" si="6"/>
        <v>2.3760000000000003</v>
      </c>
      <c r="M15" s="13">
        <f t="shared" si="6"/>
        <v>2.1120000000000001</v>
      </c>
      <c r="N15" s="13">
        <f t="shared" si="6"/>
        <v>1.8479999999999999</v>
      </c>
      <c r="O15" s="13">
        <f t="shared" si="6"/>
        <v>1.5839999999999999</v>
      </c>
      <c r="P15" s="13">
        <f t="shared" si="6"/>
        <v>1.3199999999999998</v>
      </c>
      <c r="Q15" s="13">
        <f t="shared" si="6"/>
        <v>0.92399999999999993</v>
      </c>
    </row>
    <row r="16" spans="1:17" x14ac:dyDescent="0.25">
      <c r="A16" s="5" t="s">
        <v>18</v>
      </c>
      <c r="B16" s="5" t="s">
        <v>19</v>
      </c>
      <c r="C16" s="5" t="s">
        <v>20</v>
      </c>
      <c r="D16" s="5" t="s">
        <v>21</v>
      </c>
      <c r="E16" s="14">
        <f>E4+E4*20%</f>
        <v>7.2</v>
      </c>
      <c r="F16" s="14">
        <f t="shared" ref="F16:Q16" si="7">F4+F4*20%</f>
        <v>5.4</v>
      </c>
      <c r="G16" s="14">
        <f t="shared" si="7"/>
        <v>4.32</v>
      </c>
      <c r="H16" s="14">
        <f t="shared" si="7"/>
        <v>3.3719999999999999</v>
      </c>
      <c r="I16" s="14">
        <f t="shared" si="7"/>
        <v>3</v>
      </c>
      <c r="J16" s="14">
        <f t="shared" si="7"/>
        <v>2.88</v>
      </c>
      <c r="K16" s="14">
        <f t="shared" si="7"/>
        <v>2.4</v>
      </c>
      <c r="L16" s="14">
        <f t="shared" si="7"/>
        <v>2.16</v>
      </c>
      <c r="M16" s="14">
        <f t="shared" si="7"/>
        <v>1.9200000000000002</v>
      </c>
      <c r="N16" s="14">
        <f t="shared" si="7"/>
        <v>1.68</v>
      </c>
      <c r="O16" s="14">
        <f t="shared" si="7"/>
        <v>1.44</v>
      </c>
      <c r="P16" s="14">
        <f t="shared" si="7"/>
        <v>1.2</v>
      </c>
      <c r="Q16" s="14">
        <f t="shared" si="7"/>
        <v>0.84</v>
      </c>
    </row>
    <row r="17" spans="1:17" x14ac:dyDescent="0.25">
      <c r="A17" s="5" t="s">
        <v>22</v>
      </c>
      <c r="B17" s="5" t="s">
        <v>19</v>
      </c>
      <c r="C17" s="5" t="s">
        <v>23</v>
      </c>
      <c r="D17" s="5" t="s">
        <v>24</v>
      </c>
      <c r="E17" s="14">
        <v>8.76</v>
      </c>
      <c r="F17" s="14">
        <v>0</v>
      </c>
      <c r="G17" s="14">
        <v>6.56</v>
      </c>
      <c r="H17" s="14">
        <v>0</v>
      </c>
      <c r="I17" s="14">
        <v>3.73</v>
      </c>
      <c r="J17" s="14">
        <v>0</v>
      </c>
      <c r="K17" s="14">
        <v>2.69</v>
      </c>
      <c r="L17" s="14">
        <v>2.4700000000000002</v>
      </c>
      <c r="M17" s="14">
        <v>2.21</v>
      </c>
      <c r="N17" s="15" t="s">
        <v>50</v>
      </c>
      <c r="O17" s="15" t="s">
        <v>50</v>
      </c>
      <c r="P17" s="15" t="s">
        <v>50</v>
      </c>
      <c r="Q17" s="15" t="s">
        <v>50</v>
      </c>
    </row>
    <row r="18" spans="1:17" x14ac:dyDescent="0.25">
      <c r="A18" s="5" t="s">
        <v>25</v>
      </c>
      <c r="B18" s="5" t="s">
        <v>19</v>
      </c>
      <c r="C18" s="5" t="s">
        <v>26</v>
      </c>
      <c r="D18" s="5" t="s">
        <v>27</v>
      </c>
      <c r="E18" s="14">
        <v>9.5399999999999991</v>
      </c>
      <c r="F18" s="14">
        <v>0</v>
      </c>
      <c r="G18" s="14">
        <v>6.13</v>
      </c>
      <c r="H18" s="14">
        <v>0</v>
      </c>
      <c r="I18" s="14">
        <v>4.59</v>
      </c>
      <c r="J18" s="14">
        <v>0</v>
      </c>
      <c r="K18" s="14">
        <v>3.59</v>
      </c>
      <c r="L18" s="14">
        <v>3.28</v>
      </c>
      <c r="M18" s="14">
        <v>3.03</v>
      </c>
      <c r="N18" s="15">
        <v>2.9</v>
      </c>
      <c r="O18" s="15">
        <v>2.82</v>
      </c>
      <c r="P18" s="15">
        <v>2.69</v>
      </c>
      <c r="Q18" s="15" t="s">
        <v>50</v>
      </c>
    </row>
    <row r="19" spans="1:17" x14ac:dyDescent="0.25">
      <c r="A19" s="5" t="s">
        <v>28</v>
      </c>
      <c r="B19" s="5" t="s">
        <v>19</v>
      </c>
      <c r="C19" s="5" t="s">
        <v>29</v>
      </c>
      <c r="D19" s="5" t="s">
        <v>30</v>
      </c>
      <c r="E19" s="14">
        <v>9.5399999999999991</v>
      </c>
      <c r="F19" s="14">
        <v>0</v>
      </c>
      <c r="G19" s="14">
        <v>6.13</v>
      </c>
      <c r="H19" s="14">
        <v>0</v>
      </c>
      <c r="I19" s="14">
        <v>4.59</v>
      </c>
      <c r="J19" s="14">
        <v>0</v>
      </c>
      <c r="K19" s="14">
        <v>3.59</v>
      </c>
      <c r="L19" s="14">
        <v>3.28</v>
      </c>
      <c r="M19" s="14">
        <v>3.03</v>
      </c>
      <c r="N19" s="15">
        <v>2.9</v>
      </c>
      <c r="O19" s="15">
        <v>2.82</v>
      </c>
      <c r="P19" s="15">
        <v>2.69</v>
      </c>
      <c r="Q19" s="15" t="s">
        <v>50</v>
      </c>
    </row>
    <row r="20" spans="1:17" x14ac:dyDescent="0.25">
      <c r="A20" s="25" t="s">
        <v>2</v>
      </c>
      <c r="B20" s="26" t="s">
        <v>118</v>
      </c>
      <c r="C20" s="26" t="s">
        <v>119</v>
      </c>
      <c r="D20" s="26" t="s">
        <v>120</v>
      </c>
      <c r="E20" s="8">
        <v>4.3890000000000002</v>
      </c>
      <c r="F20" s="8">
        <v>4</v>
      </c>
      <c r="G20" s="8">
        <v>2.5</v>
      </c>
      <c r="H20" s="8">
        <v>2</v>
      </c>
      <c r="I20" s="8">
        <v>1.9</v>
      </c>
      <c r="J20" s="7">
        <v>1.8</v>
      </c>
      <c r="K20" s="19">
        <v>1.7</v>
      </c>
      <c r="L20" s="19">
        <v>1.5</v>
      </c>
      <c r="M20" s="19">
        <v>1.3</v>
      </c>
      <c r="N20" s="19">
        <v>1</v>
      </c>
      <c r="O20" s="19">
        <v>0.5</v>
      </c>
      <c r="P20" s="29">
        <v>0.4</v>
      </c>
      <c r="Q20" s="29">
        <v>0.3</v>
      </c>
    </row>
    <row r="21" spans="1:17" x14ac:dyDescent="0.25">
      <c r="A21" s="30" t="s">
        <v>121</v>
      </c>
      <c r="B21" s="31" t="s">
        <v>118</v>
      </c>
      <c r="C21" s="31" t="s">
        <v>122</v>
      </c>
      <c r="D21" s="31" t="s">
        <v>123</v>
      </c>
      <c r="E21" s="9">
        <v>5.0049999999999999</v>
      </c>
      <c r="F21" s="9">
        <v>4.8840000000000012</v>
      </c>
      <c r="G21" s="9">
        <v>4.7960000000000012</v>
      </c>
      <c r="H21" s="9">
        <v>4.6310000000000002</v>
      </c>
      <c r="I21" s="9">
        <v>4.5210000000000008</v>
      </c>
      <c r="J21" s="10">
        <v>4.4219999999999997</v>
      </c>
      <c r="K21" s="20" t="s">
        <v>117</v>
      </c>
      <c r="L21" s="20" t="s">
        <v>117</v>
      </c>
      <c r="M21" s="20" t="s">
        <v>117</v>
      </c>
      <c r="N21" s="20" t="s">
        <v>117</v>
      </c>
      <c r="O21" s="20" t="s">
        <v>117</v>
      </c>
      <c r="P21" s="20" t="s">
        <v>117</v>
      </c>
      <c r="Q21" s="20" t="s">
        <v>117</v>
      </c>
    </row>
    <row r="24" spans="1:17" x14ac:dyDescent="0.25">
      <c r="A24" s="27" t="s">
        <v>124</v>
      </c>
    </row>
    <row r="25" spans="1:17" x14ac:dyDescent="0.25">
      <c r="A25" s="1" t="s">
        <v>0</v>
      </c>
      <c r="B25" s="1" t="s">
        <v>1</v>
      </c>
      <c r="C25" s="1" t="s">
        <v>51</v>
      </c>
      <c r="D25" s="1" t="s">
        <v>52</v>
      </c>
      <c r="E25" s="1" t="s">
        <v>78</v>
      </c>
      <c r="F25" s="1" t="s">
        <v>79</v>
      </c>
      <c r="G25" s="1" t="s">
        <v>80</v>
      </c>
      <c r="H25" s="1" t="s">
        <v>81</v>
      </c>
      <c r="I25" s="1" t="s">
        <v>82</v>
      </c>
      <c r="J25" s="1" t="s">
        <v>83</v>
      </c>
      <c r="K25" s="1" t="s">
        <v>84</v>
      </c>
      <c r="L25" s="1" t="s">
        <v>85</v>
      </c>
      <c r="M25" s="1" t="s">
        <v>86</v>
      </c>
      <c r="N25" s="1" t="s">
        <v>87</v>
      </c>
      <c r="O25" s="16" t="s">
        <v>88</v>
      </c>
    </row>
    <row r="26" spans="1:17" x14ac:dyDescent="0.25">
      <c r="A26" s="2" t="s">
        <v>2</v>
      </c>
      <c r="B26" s="2" t="s">
        <v>53</v>
      </c>
      <c r="C26" s="2" t="s">
        <v>54</v>
      </c>
      <c r="D26" s="2" t="s">
        <v>77</v>
      </c>
      <c r="E26" s="7">
        <v>9.2070000000000007</v>
      </c>
      <c r="F26" s="7">
        <v>8.2280000000000015</v>
      </c>
      <c r="G26" s="7">
        <v>7.9090000000000007</v>
      </c>
      <c r="H26" s="7">
        <v>7.3479999999999999</v>
      </c>
      <c r="I26" s="7">
        <v>6.468</v>
      </c>
      <c r="J26" s="7">
        <v>5.2250000000000005</v>
      </c>
      <c r="K26" s="7">
        <v>4.51</v>
      </c>
      <c r="L26" s="7">
        <v>3.9050000000000002</v>
      </c>
      <c r="M26" s="7">
        <v>3.4320000000000004</v>
      </c>
      <c r="N26" s="7">
        <v>3.1570000000000005</v>
      </c>
      <c r="O26" s="7">
        <v>2.871</v>
      </c>
    </row>
    <row r="27" spans="1:17" x14ac:dyDescent="0.25">
      <c r="A27" s="2" t="s">
        <v>8</v>
      </c>
      <c r="B27" s="2" t="s">
        <v>53</v>
      </c>
      <c r="C27" s="2" t="s">
        <v>55</v>
      </c>
      <c r="D27" s="2" t="s">
        <v>75</v>
      </c>
      <c r="E27" s="7">
        <v>11.352000000000002</v>
      </c>
      <c r="F27" s="7">
        <v>10.439000000000002</v>
      </c>
      <c r="G27" s="7">
        <v>9.9880000000000013</v>
      </c>
      <c r="H27" s="7">
        <v>9.4600000000000009</v>
      </c>
      <c r="I27" s="7">
        <v>8.8550000000000022</v>
      </c>
      <c r="J27" s="7">
        <v>7.6780000000000008</v>
      </c>
      <c r="K27" s="7">
        <v>6.4460000000000006</v>
      </c>
      <c r="L27" s="7">
        <v>5.2250000000000005</v>
      </c>
      <c r="M27" s="7">
        <v>4.4219999999999997</v>
      </c>
      <c r="N27" s="7">
        <v>4.1030000000000006</v>
      </c>
      <c r="O27" s="7">
        <v>3.7840000000000003</v>
      </c>
    </row>
    <row r="28" spans="1:17" x14ac:dyDescent="0.25">
      <c r="A28" s="2" t="s">
        <v>10</v>
      </c>
      <c r="B28" s="2" t="s">
        <v>53</v>
      </c>
      <c r="C28" s="2" t="s">
        <v>56</v>
      </c>
      <c r="D28" s="2" t="s">
        <v>76</v>
      </c>
      <c r="E28" s="7">
        <v>14.212000000000002</v>
      </c>
      <c r="F28" s="7">
        <v>13.607000000000001</v>
      </c>
      <c r="G28" s="7">
        <v>13.244</v>
      </c>
      <c r="H28" s="7">
        <v>11.847000000000001</v>
      </c>
      <c r="I28" s="7">
        <v>11.099</v>
      </c>
      <c r="J28" s="7">
        <v>10.01</v>
      </c>
      <c r="K28" s="7">
        <v>8.2170000000000005</v>
      </c>
      <c r="L28" s="7">
        <v>6.5450000000000008</v>
      </c>
      <c r="M28" s="7">
        <v>5.5440000000000005</v>
      </c>
      <c r="N28" s="7">
        <v>5.1479999999999997</v>
      </c>
      <c r="O28" s="7">
        <v>4.7520000000000007</v>
      </c>
    </row>
    <row r="29" spans="1:17" x14ac:dyDescent="0.25">
      <c r="A29" s="2" t="s">
        <v>15</v>
      </c>
      <c r="B29" s="2" t="s">
        <v>53</v>
      </c>
      <c r="C29" s="2" t="s">
        <v>57</v>
      </c>
      <c r="D29" s="2" t="s">
        <v>74</v>
      </c>
      <c r="E29" s="7">
        <v>6.5010000000000003</v>
      </c>
      <c r="F29" s="7">
        <v>5.6320000000000006</v>
      </c>
      <c r="G29" s="7">
        <v>5.1040000000000001</v>
      </c>
      <c r="H29" s="7">
        <v>4.7520000000000007</v>
      </c>
      <c r="I29" s="7">
        <v>4.4770000000000003</v>
      </c>
      <c r="J29" s="7">
        <v>3.9490000000000003</v>
      </c>
      <c r="K29" s="7">
        <v>3.5970000000000004</v>
      </c>
      <c r="L29" s="7">
        <v>3.19</v>
      </c>
      <c r="M29" s="7">
        <v>2.8490000000000002</v>
      </c>
      <c r="N29" s="7">
        <v>2.5960000000000001</v>
      </c>
      <c r="O29" s="7">
        <v>2.4090000000000003</v>
      </c>
    </row>
    <row r="30" spans="1:17" x14ac:dyDescent="0.25">
      <c r="A30" s="2">
        <v>0</v>
      </c>
      <c r="B30" s="2" t="s">
        <v>53</v>
      </c>
      <c r="C30" s="2" t="s">
        <v>58</v>
      </c>
      <c r="D30" s="2" t="s">
        <v>59</v>
      </c>
      <c r="E30" s="7">
        <v>10.472</v>
      </c>
      <c r="F30" s="7">
        <v>9.5370000000000008</v>
      </c>
      <c r="G30" s="7">
        <v>8.5690000000000008</v>
      </c>
      <c r="H30" s="7">
        <v>7.7110000000000003</v>
      </c>
      <c r="I30" s="7">
        <v>6.5450000000000008</v>
      </c>
      <c r="J30" s="7">
        <v>5.346000000000001</v>
      </c>
      <c r="K30" s="7">
        <v>4.6090000000000009</v>
      </c>
      <c r="L30" s="7">
        <v>4.0040000000000004</v>
      </c>
      <c r="M30" s="7">
        <v>3.5420000000000007</v>
      </c>
      <c r="N30" s="7">
        <v>3.2670000000000003</v>
      </c>
      <c r="O30" s="7">
        <v>3.0140000000000007</v>
      </c>
    </row>
    <row r="31" spans="1:17" x14ac:dyDescent="0.25">
      <c r="A31" s="2" t="s">
        <v>12</v>
      </c>
      <c r="B31" s="2" t="s">
        <v>53</v>
      </c>
      <c r="C31" s="2" t="s">
        <v>60</v>
      </c>
      <c r="D31" s="2" t="s">
        <v>73</v>
      </c>
      <c r="E31" s="7">
        <v>10.472</v>
      </c>
      <c r="F31" s="7">
        <v>9.5370000000000008</v>
      </c>
      <c r="G31" s="7">
        <v>8.5690000000000008</v>
      </c>
      <c r="H31" s="7">
        <v>7.7110000000000003</v>
      </c>
      <c r="I31" s="7">
        <v>6.5450000000000008</v>
      </c>
      <c r="J31" s="7">
        <v>5.346000000000001</v>
      </c>
      <c r="K31" s="7">
        <v>4.6090000000000009</v>
      </c>
      <c r="L31" s="7">
        <v>4.0040000000000004</v>
      </c>
      <c r="M31" s="7">
        <v>3.5420000000000007</v>
      </c>
      <c r="N31" s="7">
        <v>3.2670000000000003</v>
      </c>
      <c r="O31" s="7">
        <v>3.0140000000000007</v>
      </c>
    </row>
    <row r="32" spans="1:17" x14ac:dyDescent="0.25">
      <c r="A32" s="2" t="s">
        <v>28</v>
      </c>
      <c r="B32" s="2" t="s">
        <v>53</v>
      </c>
      <c r="C32" s="2" t="s">
        <v>61</v>
      </c>
      <c r="D32" s="2" t="s">
        <v>62</v>
      </c>
      <c r="E32" s="7">
        <v>11.066000000000001</v>
      </c>
      <c r="F32" s="7">
        <v>10.714</v>
      </c>
      <c r="G32" s="7">
        <v>10.252000000000001</v>
      </c>
      <c r="H32" s="7">
        <v>8.7780000000000005</v>
      </c>
      <c r="I32" s="7">
        <v>7.6120000000000001</v>
      </c>
      <c r="J32" s="7">
        <v>6.2810000000000006</v>
      </c>
      <c r="K32" s="7">
        <v>5.346000000000001</v>
      </c>
      <c r="L32" s="7">
        <v>4.6859999999999999</v>
      </c>
      <c r="M32" s="7">
        <v>4.1360000000000001</v>
      </c>
      <c r="N32" s="7">
        <v>3.883</v>
      </c>
      <c r="O32" s="7">
        <v>3.5420000000000007</v>
      </c>
    </row>
    <row r="33" spans="1:23" x14ac:dyDescent="0.25">
      <c r="A33" s="2"/>
      <c r="B33" s="2" t="s">
        <v>63</v>
      </c>
      <c r="C33" s="2" t="s">
        <v>63</v>
      </c>
      <c r="D33" s="2" t="s">
        <v>64</v>
      </c>
      <c r="E33" s="7">
        <v>7.4580000000000011</v>
      </c>
      <c r="F33" s="7">
        <v>5.8080000000000007</v>
      </c>
      <c r="G33" s="7">
        <v>4.8730000000000002</v>
      </c>
      <c r="H33" s="7">
        <v>3.927</v>
      </c>
      <c r="I33" s="7">
        <v>3.2450000000000006</v>
      </c>
      <c r="J33" s="7">
        <v>2.6840000000000002</v>
      </c>
      <c r="K33" s="19" t="s">
        <v>117</v>
      </c>
      <c r="L33" s="19" t="s">
        <v>117</v>
      </c>
      <c r="M33" s="19" t="s">
        <v>117</v>
      </c>
      <c r="N33" s="19" t="s">
        <v>117</v>
      </c>
      <c r="O33" s="19" t="s">
        <v>117</v>
      </c>
    </row>
    <row r="34" spans="1:23" x14ac:dyDescent="0.25">
      <c r="A34" s="2"/>
      <c r="B34" s="2" t="s">
        <v>65</v>
      </c>
      <c r="C34" s="2" t="s">
        <v>65</v>
      </c>
      <c r="D34" s="2" t="s">
        <v>66</v>
      </c>
      <c r="E34" s="7">
        <v>3.7840000000000003</v>
      </c>
      <c r="F34" s="7">
        <v>3.6520000000000001</v>
      </c>
      <c r="G34" s="7">
        <v>3.4870000000000001</v>
      </c>
      <c r="H34" s="7">
        <v>3.3000000000000003</v>
      </c>
      <c r="I34" s="7">
        <v>3.1459999999999999</v>
      </c>
      <c r="J34" s="7">
        <v>2.9920000000000004</v>
      </c>
      <c r="K34" s="7">
        <v>2.8600000000000003</v>
      </c>
      <c r="L34" s="7">
        <v>2.7720000000000002</v>
      </c>
      <c r="M34" s="7">
        <v>2.6950000000000003</v>
      </c>
      <c r="N34" s="7">
        <v>2.6179999999999999</v>
      </c>
      <c r="O34" s="7">
        <v>2.5739999999999998</v>
      </c>
    </row>
    <row r="35" spans="1:23" x14ac:dyDescent="0.25">
      <c r="A35" s="25" t="s">
        <v>2</v>
      </c>
      <c r="B35" s="26" t="s">
        <v>118</v>
      </c>
      <c r="C35" s="26" t="s">
        <v>119</v>
      </c>
      <c r="D35" s="26" t="s">
        <v>120</v>
      </c>
      <c r="E35" s="8">
        <v>4.3890000000000002</v>
      </c>
      <c r="F35" s="8">
        <v>4.202</v>
      </c>
      <c r="G35" s="8">
        <v>3.9490000000000003</v>
      </c>
      <c r="H35" s="8">
        <v>3.762</v>
      </c>
      <c r="I35" s="8">
        <v>3.6739999999999999</v>
      </c>
      <c r="J35" s="7">
        <v>3.5970000000000004</v>
      </c>
      <c r="K35" s="19" t="s">
        <v>117</v>
      </c>
      <c r="L35" s="19" t="s">
        <v>117</v>
      </c>
      <c r="M35" s="19" t="s">
        <v>117</v>
      </c>
      <c r="N35" s="19" t="s">
        <v>117</v>
      </c>
      <c r="O35" s="19" t="s">
        <v>117</v>
      </c>
    </row>
    <row r="36" spans="1:23" x14ac:dyDescent="0.25">
      <c r="A36" s="25" t="s">
        <v>121</v>
      </c>
      <c r="B36" s="26" t="s">
        <v>118</v>
      </c>
      <c r="C36" s="26" t="s">
        <v>122</v>
      </c>
      <c r="D36" s="26" t="s">
        <v>123</v>
      </c>
      <c r="E36" s="8">
        <v>5.0049999999999999</v>
      </c>
      <c r="F36" s="8">
        <v>4.8840000000000012</v>
      </c>
      <c r="G36" s="8">
        <v>4.7960000000000012</v>
      </c>
      <c r="H36" s="8">
        <v>4.6310000000000002</v>
      </c>
      <c r="I36" s="8">
        <v>4.5210000000000008</v>
      </c>
      <c r="J36" s="7">
        <v>4.4219999999999997</v>
      </c>
      <c r="K36" s="19" t="s">
        <v>117</v>
      </c>
      <c r="L36" s="19" t="s">
        <v>117</v>
      </c>
      <c r="M36" s="19" t="s">
        <v>117</v>
      </c>
      <c r="N36" s="19" t="s">
        <v>117</v>
      </c>
      <c r="O36" s="19" t="s">
        <v>117</v>
      </c>
    </row>
    <row r="37" spans="1:23" x14ac:dyDescent="0.25">
      <c r="A37" s="17"/>
      <c r="B37" s="17" t="s">
        <v>67</v>
      </c>
      <c r="C37" s="17" t="s">
        <v>67</v>
      </c>
      <c r="D37" s="17" t="s">
        <v>68</v>
      </c>
      <c r="E37" s="10">
        <v>9.4600000000000009</v>
      </c>
      <c r="F37" s="10">
        <v>8.0080000000000009</v>
      </c>
      <c r="G37" s="10">
        <v>7.8870000000000005</v>
      </c>
      <c r="H37" s="10">
        <v>7.777000000000001</v>
      </c>
      <c r="I37" s="10">
        <v>7.5570000000000004</v>
      </c>
      <c r="J37" s="10">
        <v>5.9520999999999997</v>
      </c>
      <c r="K37" s="11" t="s">
        <v>117</v>
      </c>
      <c r="L37" s="11" t="s">
        <v>117</v>
      </c>
      <c r="M37" s="11" t="s">
        <v>117</v>
      </c>
      <c r="N37" s="11" t="s">
        <v>117</v>
      </c>
      <c r="O37" s="11" t="s">
        <v>117</v>
      </c>
    </row>
    <row r="38" spans="1:23" x14ac:dyDescent="0.25">
      <c r="B38" t="s">
        <v>69</v>
      </c>
      <c r="D38" t="s">
        <v>70</v>
      </c>
      <c r="E38">
        <v>52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B39" t="s">
        <v>71</v>
      </c>
      <c r="D39" t="s">
        <v>70</v>
      </c>
      <c r="E39">
        <v>41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B40" t="s">
        <v>72</v>
      </c>
      <c r="D40" t="s">
        <v>70</v>
      </c>
      <c r="E40">
        <v>23</v>
      </c>
      <c r="S40">
        <v>0</v>
      </c>
      <c r="T40">
        <v>0</v>
      </c>
      <c r="U40">
        <v>0</v>
      </c>
      <c r="V40">
        <v>0</v>
      </c>
      <c r="W40">
        <v>0</v>
      </c>
    </row>
    <row r="46" spans="1:23" x14ac:dyDescent="0.25">
      <c r="B46" s="27" t="s">
        <v>125</v>
      </c>
    </row>
    <row r="47" spans="1:23" x14ac:dyDescent="0.25">
      <c r="D47" s="1" t="s">
        <v>52</v>
      </c>
      <c r="E47" s="1" t="s">
        <v>113</v>
      </c>
      <c r="F47" s="1" t="s">
        <v>114</v>
      </c>
      <c r="G47" s="1" t="s">
        <v>115</v>
      </c>
      <c r="H47" s="1" t="s">
        <v>43</v>
      </c>
      <c r="I47" s="1" t="s">
        <v>44</v>
      </c>
      <c r="J47" s="1" t="s">
        <v>45</v>
      </c>
      <c r="K47" s="1" t="s">
        <v>46</v>
      </c>
      <c r="L47" s="1" t="s">
        <v>47</v>
      </c>
      <c r="M47" s="1" t="s">
        <v>116</v>
      </c>
    </row>
    <row r="48" spans="1:23" x14ac:dyDescent="0.25">
      <c r="B48" s="18" t="s">
        <v>89</v>
      </c>
      <c r="C48" s="18" t="s">
        <v>89</v>
      </c>
      <c r="D48" s="18" t="s">
        <v>90</v>
      </c>
      <c r="E48" s="18">
        <v>1.375</v>
      </c>
      <c r="F48" s="18">
        <v>1.2429999999999999</v>
      </c>
      <c r="G48" s="18">
        <v>1.1660000000000001</v>
      </c>
      <c r="H48" s="18">
        <v>1.1110000000000002</v>
      </c>
      <c r="I48" s="18">
        <v>1.0780000000000001</v>
      </c>
      <c r="J48" s="18">
        <v>1.056</v>
      </c>
      <c r="K48" s="18">
        <v>1.0230000000000001</v>
      </c>
      <c r="L48" s="18">
        <v>1.0010000000000001</v>
      </c>
      <c r="M48" s="18">
        <v>0.97900000000000009</v>
      </c>
    </row>
    <row r="49" spans="2:13" x14ac:dyDescent="0.25">
      <c r="B49" s="2" t="s">
        <v>91</v>
      </c>
      <c r="C49" s="2" t="s">
        <v>91</v>
      </c>
      <c r="D49" s="2" t="s">
        <v>92</v>
      </c>
      <c r="E49" s="2">
        <v>1.7490000000000003</v>
      </c>
      <c r="F49" s="2">
        <v>1.6500000000000001</v>
      </c>
      <c r="G49" s="2">
        <v>1.5289999999999999</v>
      </c>
      <c r="H49" s="2">
        <v>1.4300000000000002</v>
      </c>
      <c r="I49" s="2">
        <v>1.3860000000000001</v>
      </c>
      <c r="J49" s="2">
        <v>1.3640000000000001</v>
      </c>
      <c r="K49" s="2">
        <v>1.353</v>
      </c>
      <c r="L49" s="2">
        <v>1.3420000000000001</v>
      </c>
      <c r="M49" s="2">
        <v>1.32</v>
      </c>
    </row>
    <row r="50" spans="2:13" x14ac:dyDescent="0.25">
      <c r="B50" s="2" t="s">
        <v>93</v>
      </c>
      <c r="C50" s="2" t="s">
        <v>93</v>
      </c>
      <c r="D50" s="2" t="s">
        <v>94</v>
      </c>
      <c r="E50" s="2">
        <v>2.0680000000000001</v>
      </c>
      <c r="F50" s="2">
        <v>1.9140000000000001</v>
      </c>
      <c r="G50" s="2">
        <v>1.7050000000000003</v>
      </c>
      <c r="H50" s="2">
        <v>1.5289999999999999</v>
      </c>
      <c r="I50" s="2">
        <v>1.4300000000000002</v>
      </c>
      <c r="J50" s="2">
        <v>1.4190000000000003</v>
      </c>
      <c r="K50" s="2">
        <v>1.4080000000000001</v>
      </c>
      <c r="L50" s="2">
        <v>1.3970000000000002</v>
      </c>
      <c r="M50" s="2">
        <v>1.375</v>
      </c>
    </row>
    <row r="51" spans="2:13" x14ac:dyDescent="0.25">
      <c r="B51" s="2" t="s">
        <v>95</v>
      </c>
      <c r="C51" s="2" t="s">
        <v>95</v>
      </c>
      <c r="D51" s="2" t="s">
        <v>96</v>
      </c>
      <c r="E51" s="19" t="s">
        <v>117</v>
      </c>
      <c r="F51" s="2">
        <v>5.3570000000000002</v>
      </c>
      <c r="G51" s="2">
        <v>4.7630000000000008</v>
      </c>
      <c r="H51" s="2">
        <v>4.4110000000000005</v>
      </c>
      <c r="I51" s="2">
        <v>4.1910000000000007</v>
      </c>
      <c r="J51" s="2">
        <v>4.1690000000000005</v>
      </c>
      <c r="K51" s="2">
        <v>4.125</v>
      </c>
      <c r="L51" s="2">
        <v>4.1140000000000008</v>
      </c>
      <c r="M51" s="2">
        <v>4.0920000000000005</v>
      </c>
    </row>
    <row r="52" spans="2:13" x14ac:dyDescent="0.25">
      <c r="B52" s="2" t="s">
        <v>97</v>
      </c>
      <c r="C52" s="2" t="s">
        <v>97</v>
      </c>
      <c r="D52" s="2" t="s">
        <v>98</v>
      </c>
      <c r="E52" s="2">
        <v>3.08</v>
      </c>
      <c r="F52" s="2">
        <v>2.3760000000000003</v>
      </c>
      <c r="G52" s="2">
        <v>1.8260000000000001</v>
      </c>
      <c r="H52" s="2">
        <v>1.254</v>
      </c>
      <c r="I52" s="2">
        <v>0.97900000000000009</v>
      </c>
      <c r="J52" s="2">
        <v>0.70400000000000007</v>
      </c>
      <c r="K52" s="2">
        <v>0.63800000000000001</v>
      </c>
      <c r="L52" s="2">
        <v>0.60500000000000009</v>
      </c>
      <c r="M52" s="2">
        <v>0.55000000000000004</v>
      </c>
    </row>
    <row r="53" spans="2:13" x14ac:dyDescent="0.25">
      <c r="B53" s="2" t="s">
        <v>99</v>
      </c>
      <c r="C53" s="2" t="s">
        <v>99</v>
      </c>
      <c r="D53" s="2" t="s">
        <v>100</v>
      </c>
      <c r="E53" s="2">
        <v>70.025999999999996</v>
      </c>
      <c r="F53" s="2">
        <v>5.83</v>
      </c>
      <c r="G53" s="2">
        <v>2.7829999999999999</v>
      </c>
      <c r="H53" s="2">
        <v>1.617</v>
      </c>
      <c r="I53" s="2">
        <v>1.276</v>
      </c>
      <c r="J53" s="2">
        <v>0.93500000000000005</v>
      </c>
      <c r="K53" s="2">
        <v>0.68200000000000005</v>
      </c>
      <c r="L53" s="2">
        <v>0.48400000000000004</v>
      </c>
      <c r="M53" s="2">
        <v>0.31900000000000001</v>
      </c>
    </row>
    <row r="54" spans="2:13" x14ac:dyDescent="0.25">
      <c r="B54" s="17" t="s">
        <v>101</v>
      </c>
      <c r="C54" s="17" t="s">
        <v>101</v>
      </c>
      <c r="D54" s="17" t="s">
        <v>102</v>
      </c>
      <c r="E54" s="20" t="s">
        <v>117</v>
      </c>
      <c r="F54" s="20" t="s">
        <v>117</v>
      </c>
      <c r="G54" s="20" t="s">
        <v>117</v>
      </c>
      <c r="H54" s="17">
        <v>1</v>
      </c>
      <c r="I54" s="17">
        <v>0.56000000000000005</v>
      </c>
      <c r="J54" s="17">
        <v>0.5</v>
      </c>
      <c r="K54" s="17">
        <v>0.43</v>
      </c>
      <c r="L54" s="17">
        <v>0.38</v>
      </c>
      <c r="M54" s="17">
        <v>0.27</v>
      </c>
    </row>
    <row r="55" spans="2:13" x14ac:dyDescent="0.25">
      <c r="B55" s="21"/>
      <c r="C55" s="21"/>
      <c r="D55" s="21"/>
      <c r="E55" s="22"/>
      <c r="F55" s="22"/>
      <c r="G55" s="22"/>
      <c r="H55" s="21"/>
      <c r="I55" s="21"/>
      <c r="J55" s="21"/>
      <c r="K55" s="21"/>
      <c r="L55" s="21"/>
      <c r="M55" s="21"/>
    </row>
    <row r="56" spans="2:13" x14ac:dyDescent="0.25">
      <c r="B56" s="23"/>
      <c r="C56" s="23"/>
      <c r="D56" s="23"/>
      <c r="E56" s="24"/>
      <c r="F56" s="24"/>
      <c r="G56" s="24"/>
      <c r="H56" s="23"/>
      <c r="I56" s="23"/>
      <c r="J56" s="23"/>
      <c r="K56" s="23"/>
      <c r="L56" s="23"/>
      <c r="M56" s="23"/>
    </row>
    <row r="57" spans="2:13" x14ac:dyDescent="0.25">
      <c r="B57" s="23"/>
      <c r="C57" s="23"/>
      <c r="D57" s="23"/>
      <c r="E57" s="24"/>
      <c r="F57" s="24"/>
      <c r="G57" s="24"/>
      <c r="H57" s="23"/>
      <c r="I57" s="23"/>
      <c r="J57" s="23"/>
      <c r="K57" s="23"/>
      <c r="L57" s="23"/>
      <c r="M57" s="23"/>
    </row>
    <row r="58" spans="2:13" x14ac:dyDescent="0.25">
      <c r="B58" s="23"/>
      <c r="C58" s="23"/>
      <c r="D58" s="23"/>
      <c r="E58" s="24"/>
      <c r="F58" s="24"/>
      <c r="G58" s="24"/>
      <c r="H58" s="23"/>
      <c r="I58" s="23"/>
      <c r="J58" s="23"/>
      <c r="K58" s="23"/>
      <c r="L58" s="23"/>
      <c r="M58" s="23"/>
    </row>
    <row r="59" spans="2:13" x14ac:dyDescent="0.25">
      <c r="B59" s="28" t="s">
        <v>126</v>
      </c>
      <c r="C59" s="23"/>
      <c r="D59" s="23"/>
      <c r="E59" s="24"/>
      <c r="F59" s="24"/>
      <c r="G59" s="24"/>
      <c r="H59" s="23"/>
      <c r="I59" s="23"/>
      <c r="J59" s="23"/>
      <c r="K59" s="23"/>
      <c r="L59" s="23"/>
      <c r="M59" s="23"/>
    </row>
    <row r="60" spans="2:13" x14ac:dyDescent="0.25">
      <c r="B60" s="18" t="s">
        <v>103</v>
      </c>
      <c r="C60" s="18" t="s">
        <v>103</v>
      </c>
      <c r="D60" s="18" t="s">
        <v>104</v>
      </c>
      <c r="E60" s="18">
        <v>41.800000000000004</v>
      </c>
    </row>
    <row r="61" spans="2:13" x14ac:dyDescent="0.25">
      <c r="B61" s="2" t="s">
        <v>105</v>
      </c>
      <c r="C61" s="2" t="s">
        <v>105</v>
      </c>
      <c r="D61" s="2" t="s">
        <v>106</v>
      </c>
      <c r="E61" s="2">
        <v>19.8</v>
      </c>
    </row>
    <row r="62" spans="2:13" x14ac:dyDescent="0.25">
      <c r="B62" s="2" t="s">
        <v>107</v>
      </c>
      <c r="C62" s="2" t="s">
        <v>107</v>
      </c>
      <c r="D62" s="2" t="s">
        <v>108</v>
      </c>
      <c r="E62" s="2">
        <v>13.200000000000001</v>
      </c>
    </row>
    <row r="63" spans="2:13" x14ac:dyDescent="0.25">
      <c r="B63" s="2" t="s">
        <v>109</v>
      </c>
      <c r="C63" s="2" t="s">
        <v>109</v>
      </c>
      <c r="D63" s="2" t="s">
        <v>110</v>
      </c>
      <c r="E63" s="2">
        <v>27.500000000000004</v>
      </c>
    </row>
    <row r="64" spans="2:13" x14ac:dyDescent="0.25">
      <c r="B64" s="17" t="s">
        <v>111</v>
      </c>
      <c r="C64" s="17" t="s">
        <v>111</v>
      </c>
      <c r="D64" s="17" t="s">
        <v>112</v>
      </c>
      <c r="E64" s="17">
        <v>12.045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GENY</dc:creator>
  <cp:lastModifiedBy>Brice GENY</cp:lastModifiedBy>
  <dcterms:created xsi:type="dcterms:W3CDTF">2026-05-10T09:45:12Z</dcterms:created>
  <dcterms:modified xsi:type="dcterms:W3CDTF">2026-05-10T12:10:30Z</dcterms:modified>
</cp:coreProperties>
</file>